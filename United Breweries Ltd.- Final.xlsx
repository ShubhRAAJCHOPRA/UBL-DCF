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shubh/Desktop/United Breweries/"/>
    </mc:Choice>
  </mc:AlternateContent>
  <xr:revisionPtr revIDLastSave="0" documentId="13_ncr:1_{594CCE2F-C5C9-C441-9614-9CAD29C6EF09}" xr6:coauthVersionLast="47" xr6:coauthVersionMax="47" xr10:uidLastSave="{00000000-0000-0000-0000-000000000000}"/>
  <bookViews>
    <workbookView xWindow="0" yWindow="640" windowWidth="29400" windowHeight="18480" xr2:uid="{5D76B1B2-697F-4741-AF3D-C2951F0F0BF5}"/>
  </bookViews>
  <sheets>
    <sheet name="INDEX" sheetId="1" r:id="rId1"/>
    <sheet name="CHARTS" sheetId="14" state="hidden" r:id="rId2"/>
    <sheet name="Balance Sheet- Historic" sheetId="3" r:id="rId3"/>
    <sheet name="Income Statement-Historic" sheetId="4" r:id="rId4"/>
    <sheet name="Cash flow-Historic" sheetId="9" r:id="rId5"/>
    <sheet name="Assumptions" sheetId="5" r:id="rId6"/>
    <sheet name="Working " sheetId="8" r:id="rId7"/>
    <sheet name="FS" sheetId="10" r:id="rId8"/>
    <sheet name="Valuation" sheetId="11" r:id="rId9"/>
    <sheet name="CCA" sheetId="12" r:id="rId10"/>
    <sheet name="Ratio " sheetId="13" r:id="rId11"/>
  </sheets>
  <externalReferences>
    <externalReference r:id="rId12"/>
    <externalReference r:id="rId1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9" i="11" l="1"/>
  <c r="F29" i="11"/>
  <c r="C45" i="11"/>
  <c r="X111" i="14"/>
  <c r="Z111" i="14"/>
  <c r="AA111" i="14"/>
  <c r="AB111" i="14"/>
  <c r="AC111" i="14"/>
  <c r="AD111" i="14"/>
  <c r="AE111" i="14"/>
  <c r="AF111" i="14"/>
  <c r="AG111" i="14"/>
  <c r="AH111" i="14"/>
  <c r="AI111" i="14"/>
  <c r="AJ111" i="14"/>
  <c r="AK111" i="14"/>
  <c r="AL111" i="14"/>
  <c r="Y111" i="14"/>
  <c r="P327" i="14"/>
  <c r="O327" i="14"/>
  <c r="N327" i="14"/>
  <c r="M327" i="14"/>
  <c r="G327" i="14"/>
  <c r="F327" i="14"/>
  <c r="E327" i="14"/>
  <c r="D327" i="14"/>
  <c r="C327" i="14"/>
  <c r="P326" i="14"/>
  <c r="O326" i="14"/>
  <c r="N326" i="14"/>
  <c r="M326" i="14"/>
  <c r="L326" i="14"/>
  <c r="L327" i="14" s="1"/>
  <c r="K326" i="14"/>
  <c r="K327" i="14" s="1"/>
  <c r="J326" i="14"/>
  <c r="J327" i="14" s="1"/>
  <c r="I326" i="14"/>
  <c r="I327" i="14" s="1"/>
  <c r="H326" i="14"/>
  <c r="H327" i="14" s="1"/>
  <c r="G326" i="14"/>
  <c r="F326" i="14"/>
  <c r="E326" i="14"/>
  <c r="D326" i="14"/>
  <c r="C326" i="14"/>
  <c r="B326" i="14"/>
  <c r="B327" i="14" s="1"/>
  <c r="H58" i="14"/>
  <c r="L161" i="14"/>
  <c r="M157" i="14" s="1"/>
  <c r="K161" i="14"/>
  <c r="L157" i="14" s="1"/>
  <c r="L160" i="14" s="1"/>
  <c r="J161" i="14"/>
  <c r="K157" i="14" s="1"/>
  <c r="I161" i="14"/>
  <c r="J157" i="14" s="1"/>
  <c r="H161" i="14"/>
  <c r="L159" i="14"/>
  <c r="K159" i="14"/>
  <c r="K150" i="14" s="1"/>
  <c r="J159" i="14"/>
  <c r="I159" i="14"/>
  <c r="I150" i="14" s="1"/>
  <c r="H159" i="14"/>
  <c r="L158" i="14"/>
  <c r="K158" i="14"/>
  <c r="J158" i="14"/>
  <c r="J160" i="14" s="1"/>
  <c r="I158" i="14"/>
  <c r="H158" i="14"/>
  <c r="I157" i="14"/>
  <c r="L154" i="14"/>
  <c r="M129" i="14" s="1"/>
  <c r="K154" i="14"/>
  <c r="J154" i="14"/>
  <c r="I154" i="14"/>
  <c r="H154" i="14"/>
  <c r="L153" i="14"/>
  <c r="K153" i="14"/>
  <c r="J153" i="14"/>
  <c r="I153" i="14"/>
  <c r="H153" i="14"/>
  <c r="V151" i="14"/>
  <c r="U151" i="14"/>
  <c r="T151" i="14"/>
  <c r="S151" i="14"/>
  <c r="R151" i="14"/>
  <c r="Q151" i="14"/>
  <c r="P151" i="14"/>
  <c r="O151" i="14"/>
  <c r="N151" i="14"/>
  <c r="M151" i="14"/>
  <c r="L150" i="14"/>
  <c r="J150" i="14"/>
  <c r="H150" i="14"/>
  <c r="L149" i="14"/>
  <c r="K149" i="14"/>
  <c r="J149" i="14"/>
  <c r="I149" i="14"/>
  <c r="H149" i="14"/>
  <c r="L148" i="14"/>
  <c r="K148" i="14"/>
  <c r="J148" i="14"/>
  <c r="I148" i="14"/>
  <c r="H148" i="14"/>
  <c r="V146" i="14"/>
  <c r="U146" i="14"/>
  <c r="T146" i="14"/>
  <c r="S146" i="14"/>
  <c r="R146" i="14"/>
  <c r="Q146" i="14"/>
  <c r="P146" i="14"/>
  <c r="O146" i="14"/>
  <c r="N146" i="14"/>
  <c r="L146" i="14"/>
  <c r="K146" i="14"/>
  <c r="J146" i="14"/>
  <c r="I146" i="14"/>
  <c r="H146" i="14"/>
  <c r="L141" i="14"/>
  <c r="K141" i="14"/>
  <c r="J141" i="14"/>
  <c r="I141" i="14"/>
  <c r="H141" i="14"/>
  <c r="X140" i="14"/>
  <c r="L140" i="14"/>
  <c r="K140" i="14"/>
  <c r="J140" i="14"/>
  <c r="I140" i="14"/>
  <c r="H140" i="14"/>
  <c r="L139" i="14"/>
  <c r="K139" i="14"/>
  <c r="J139" i="14"/>
  <c r="I139" i="14"/>
  <c r="H139" i="14"/>
  <c r="L138" i="14"/>
  <c r="K138" i="14"/>
  <c r="J138" i="14"/>
  <c r="I138" i="14"/>
  <c r="H138" i="14"/>
  <c r="L137" i="14"/>
  <c r="K137" i="14"/>
  <c r="J137" i="14"/>
  <c r="I137" i="14"/>
  <c r="H137" i="14"/>
  <c r="L135" i="14"/>
  <c r="K135" i="14"/>
  <c r="J135" i="14"/>
  <c r="I135" i="14"/>
  <c r="H135" i="14"/>
  <c r="L134" i="14"/>
  <c r="K134" i="14"/>
  <c r="J134" i="14"/>
  <c r="I134" i="14"/>
  <c r="H134" i="14"/>
  <c r="H133" i="14"/>
  <c r="L130" i="14"/>
  <c r="K130" i="14"/>
  <c r="J130" i="14"/>
  <c r="I130" i="14"/>
  <c r="H130" i="14"/>
  <c r="L129" i="14"/>
  <c r="K129" i="14"/>
  <c r="J129" i="14"/>
  <c r="I129" i="14"/>
  <c r="H129" i="14"/>
  <c r="L126" i="14"/>
  <c r="L124" i="14"/>
  <c r="M120" i="14" s="1"/>
  <c r="K124" i="14"/>
  <c r="J124" i="14"/>
  <c r="K120" i="14" s="1"/>
  <c r="I124" i="14"/>
  <c r="J120" i="14" s="1"/>
  <c r="J121" i="14" s="1"/>
  <c r="H124" i="14"/>
  <c r="H126" i="14" s="1"/>
  <c r="L122" i="14"/>
  <c r="K122" i="14"/>
  <c r="J122" i="14"/>
  <c r="I122" i="14"/>
  <c r="H122" i="14"/>
  <c r="L120" i="14"/>
  <c r="L117" i="14"/>
  <c r="M113" i="14" s="1"/>
  <c r="M117" i="14" s="1"/>
  <c r="N113" i="14" s="1"/>
  <c r="N117" i="14" s="1"/>
  <c r="O113" i="14" s="1"/>
  <c r="O117" i="14" s="1"/>
  <c r="P113" i="14" s="1"/>
  <c r="P117" i="14" s="1"/>
  <c r="Q113" i="14" s="1"/>
  <c r="Q117" i="14" s="1"/>
  <c r="R113" i="14" s="1"/>
  <c r="R117" i="14" s="1"/>
  <c r="S113" i="14" s="1"/>
  <c r="S117" i="14" s="1"/>
  <c r="T113" i="14" s="1"/>
  <c r="T117" i="14" s="1"/>
  <c r="U113" i="14" s="1"/>
  <c r="U117" i="14" s="1"/>
  <c r="V113" i="14" s="1"/>
  <c r="V117" i="14" s="1"/>
  <c r="K117" i="14"/>
  <c r="L113" i="14" s="1"/>
  <c r="L116" i="14" s="1"/>
  <c r="J117" i="14"/>
  <c r="K113" i="14" s="1"/>
  <c r="I117" i="14"/>
  <c r="J113" i="14" s="1"/>
  <c r="H117" i="14"/>
  <c r="L115" i="14"/>
  <c r="K115" i="14"/>
  <c r="J115" i="14"/>
  <c r="I115" i="14"/>
  <c r="H115" i="14"/>
  <c r="L114" i="14"/>
  <c r="K114" i="14"/>
  <c r="J114" i="14"/>
  <c r="I114" i="14"/>
  <c r="H114" i="14"/>
  <c r="I113" i="14"/>
  <c r="L106" i="14"/>
  <c r="K106" i="14"/>
  <c r="J106" i="14"/>
  <c r="I106" i="14"/>
  <c r="H106" i="14"/>
  <c r="L105" i="14"/>
  <c r="K105" i="14"/>
  <c r="J105" i="14"/>
  <c r="I105" i="14"/>
  <c r="H105" i="14"/>
  <c r="H107" i="14" s="1"/>
  <c r="H102" i="14" s="1"/>
  <c r="L104" i="14"/>
  <c r="L107" i="14" s="1"/>
  <c r="L102" i="14" s="1"/>
  <c r="K104" i="14"/>
  <c r="J104" i="14"/>
  <c r="I104" i="14"/>
  <c r="H104" i="14"/>
  <c r="K87" i="14"/>
  <c r="I87" i="14"/>
  <c r="H87" i="14"/>
  <c r="H86" i="14"/>
  <c r="L82" i="14"/>
  <c r="K82" i="14"/>
  <c r="L79" i="14" s="1"/>
  <c r="J82" i="14"/>
  <c r="J87" i="14" s="1"/>
  <c r="I82" i="14"/>
  <c r="H82" i="14"/>
  <c r="K79" i="14"/>
  <c r="J79" i="14"/>
  <c r="I79" i="14"/>
  <c r="L76" i="14"/>
  <c r="M73" i="14" s="1"/>
  <c r="K76" i="14"/>
  <c r="L73" i="14" s="1"/>
  <c r="J76" i="14"/>
  <c r="K73" i="14" s="1"/>
  <c r="I76" i="14"/>
  <c r="I86" i="14" s="1"/>
  <c r="H76" i="14"/>
  <c r="I73" i="14" s="1"/>
  <c r="L70" i="14"/>
  <c r="L85" i="14" s="1"/>
  <c r="K70" i="14"/>
  <c r="L67" i="14" s="1"/>
  <c r="J70" i="14"/>
  <c r="I70" i="14"/>
  <c r="J67" i="14" s="1"/>
  <c r="H70" i="14"/>
  <c r="H85" i="14" s="1"/>
  <c r="H88" i="14" s="1"/>
  <c r="H68" i="14"/>
  <c r="L54" i="14"/>
  <c r="K54" i="14"/>
  <c r="J54" i="14"/>
  <c r="I54" i="14"/>
  <c r="H54" i="14"/>
  <c r="K53" i="14"/>
  <c r="L52" i="14"/>
  <c r="K52" i="14"/>
  <c r="J52" i="14"/>
  <c r="I52" i="14"/>
  <c r="H52" i="14"/>
  <c r="L48" i="14"/>
  <c r="L131" i="14" s="1"/>
  <c r="K48" i="14"/>
  <c r="K131" i="14" s="1"/>
  <c r="J48" i="14"/>
  <c r="I48" i="14"/>
  <c r="H48" i="14"/>
  <c r="H96" i="14" s="1"/>
  <c r="L45" i="14"/>
  <c r="K45" i="14"/>
  <c r="J45" i="14"/>
  <c r="I45" i="14"/>
  <c r="H45" i="14"/>
  <c r="H46" i="14" s="1"/>
  <c r="H43" i="14"/>
  <c r="L42" i="14"/>
  <c r="K42" i="14"/>
  <c r="J42" i="14"/>
  <c r="I42" i="14"/>
  <c r="H42" i="14"/>
  <c r="L38" i="14"/>
  <c r="K38" i="14"/>
  <c r="J38" i="14"/>
  <c r="I38" i="14"/>
  <c r="H38" i="14"/>
  <c r="H37" i="14"/>
  <c r="L36" i="14"/>
  <c r="K36" i="14"/>
  <c r="J36" i="14"/>
  <c r="I36" i="14"/>
  <c r="H36" i="14"/>
  <c r="L31" i="14"/>
  <c r="K31" i="14"/>
  <c r="J31" i="14"/>
  <c r="I31" i="14"/>
  <c r="I32" i="14" s="1"/>
  <c r="H31" i="14"/>
  <c r="H32" i="14" s="1"/>
  <c r="L29" i="14"/>
  <c r="K29" i="14"/>
  <c r="J29" i="14"/>
  <c r="I29" i="14"/>
  <c r="H29" i="14"/>
  <c r="L27" i="14"/>
  <c r="K27" i="14"/>
  <c r="J27" i="14"/>
  <c r="J28" i="14" s="1"/>
  <c r="I27" i="14"/>
  <c r="I28" i="14" s="1"/>
  <c r="H27" i="14"/>
  <c r="H28" i="14" s="1"/>
  <c r="L25" i="14"/>
  <c r="L33" i="14" s="1"/>
  <c r="K25" i="14"/>
  <c r="K33" i="14" s="1"/>
  <c r="J25" i="14"/>
  <c r="I25" i="14"/>
  <c r="H25" i="14"/>
  <c r="L19" i="14"/>
  <c r="K19" i="14"/>
  <c r="J19" i="14"/>
  <c r="J20" i="14" s="1"/>
  <c r="I19" i="14"/>
  <c r="I21" i="14" s="1"/>
  <c r="H19" i="14"/>
  <c r="L17" i="14"/>
  <c r="L28" i="14" s="1"/>
  <c r="K17" i="14"/>
  <c r="J17" i="14"/>
  <c r="I17" i="14"/>
  <c r="H17" i="14"/>
  <c r="H20" i="14" s="1"/>
  <c r="V6" i="14"/>
  <c r="V62" i="14" s="1"/>
  <c r="U6" i="14"/>
  <c r="U62" i="14" s="1"/>
  <c r="T6" i="14"/>
  <c r="T62" i="14" s="1"/>
  <c r="S6" i="14"/>
  <c r="S62" i="14" s="1"/>
  <c r="R6" i="14"/>
  <c r="R62" i="14" s="1"/>
  <c r="Q6" i="14"/>
  <c r="Q62" i="14" s="1"/>
  <c r="P6" i="14"/>
  <c r="P62" i="14" s="1"/>
  <c r="O6" i="14"/>
  <c r="O62" i="14" s="1"/>
  <c r="N6" i="14"/>
  <c r="N62" i="14" s="1"/>
  <c r="M6" i="14"/>
  <c r="M62" i="14" s="1"/>
  <c r="L6" i="14"/>
  <c r="L62" i="14" s="1"/>
  <c r="K6" i="14"/>
  <c r="K62" i="14" s="1"/>
  <c r="J6" i="14"/>
  <c r="J62" i="14" s="1"/>
  <c r="I6" i="14"/>
  <c r="I62" i="14" s="1"/>
  <c r="H6" i="14"/>
  <c r="H62" i="14" s="1"/>
  <c r="K14" i="1"/>
  <c r="K13" i="1"/>
  <c r="K12" i="1"/>
  <c r="K11" i="1"/>
  <c r="G13" i="1"/>
  <c r="C13" i="1"/>
  <c r="B11" i="1"/>
  <c r="B7" i="1" a="1"/>
  <c r="B7" i="1" s="1"/>
  <c r="P55" i="1"/>
  <c r="P54" i="1"/>
  <c r="P53" i="1"/>
  <c r="P52" i="1"/>
  <c r="D26" i="13"/>
  <c r="E26" i="13"/>
  <c r="F26" i="13"/>
  <c r="G26" i="13"/>
  <c r="H26" i="13"/>
  <c r="I26" i="13"/>
  <c r="J26" i="13"/>
  <c r="K26" i="13"/>
  <c r="L26" i="13"/>
  <c r="M26" i="13"/>
  <c r="N26" i="13"/>
  <c r="O26" i="13"/>
  <c r="P26" i="13"/>
  <c r="Q26" i="13"/>
  <c r="D28" i="13"/>
  <c r="E28" i="13"/>
  <c r="F28" i="13"/>
  <c r="G28" i="13"/>
  <c r="H28" i="13"/>
  <c r="I28" i="13"/>
  <c r="J28" i="13"/>
  <c r="K28" i="13"/>
  <c r="L28" i="13"/>
  <c r="M28" i="13"/>
  <c r="N28" i="13"/>
  <c r="O28" i="13"/>
  <c r="P28" i="13"/>
  <c r="Q28" i="13"/>
  <c r="C28" i="13"/>
  <c r="C26" i="13"/>
  <c r="C11" i="13"/>
  <c r="C10" i="13"/>
  <c r="C9" i="13"/>
  <c r="H8" i="13"/>
  <c r="I8" i="13"/>
  <c r="J8" i="13"/>
  <c r="K8" i="13"/>
  <c r="L8" i="13"/>
  <c r="M8" i="13"/>
  <c r="N8" i="13"/>
  <c r="O8" i="13"/>
  <c r="P8" i="13"/>
  <c r="Q8" i="13"/>
  <c r="C8" i="13"/>
  <c r="H21" i="12" a="1"/>
  <c r="H21" i="12" s="1"/>
  <c r="I21" i="12" a="1"/>
  <c r="I21" i="12" s="1"/>
  <c r="J21" i="12" a="1"/>
  <c r="J21" i="12" s="1"/>
  <c r="K21" i="12" a="1"/>
  <c r="K21" i="12" s="1"/>
  <c r="L21" i="12" a="1"/>
  <c r="L21" i="12" s="1"/>
  <c r="G21" i="12" a="1"/>
  <c r="G21" i="12" s="1"/>
  <c r="L20" i="12" a="1"/>
  <c r="L20" i="12" s="1"/>
  <c r="K20" i="12" a="1"/>
  <c r="K20" i="12" s="1"/>
  <c r="J20" i="12" a="1"/>
  <c r="J20" i="12" s="1"/>
  <c r="I20" i="12" a="1"/>
  <c r="I20" i="12" s="1"/>
  <c r="H20" i="12" a="1"/>
  <c r="H20" i="12" s="1"/>
  <c r="G20" i="12" a="1"/>
  <c r="G20" i="12" s="1"/>
  <c r="G5" i="12"/>
  <c r="L25" i="12"/>
  <c r="K25" i="12"/>
  <c r="J25" i="12"/>
  <c r="I25" i="12"/>
  <c r="H25" i="12"/>
  <c r="M36" i="11"/>
  <c r="M37" i="11" s="1"/>
  <c r="M38" i="11" s="1"/>
  <c r="M39" i="11" s="1"/>
  <c r="M40" i="11" s="1"/>
  <c r="M41" i="11" s="1"/>
  <c r="M42" i="11" s="1"/>
  <c r="M43" i="11" s="1"/>
  <c r="M44" i="11" s="1"/>
  <c r="M35" i="11"/>
  <c r="B48" i="11"/>
  <c r="F31" i="11" s="1"/>
  <c r="C38" i="11"/>
  <c r="C30" i="11"/>
  <c r="I24" i="11"/>
  <c r="J24" i="11" s="1"/>
  <c r="J13" i="11"/>
  <c r="K13" i="11" s="1"/>
  <c r="L13" i="11" s="1"/>
  <c r="M13" i="11" s="1"/>
  <c r="N13" i="11" s="1"/>
  <c r="O13" i="11" s="1"/>
  <c r="P13" i="11" s="1"/>
  <c r="I13" i="11"/>
  <c r="G22" i="11"/>
  <c r="H22" i="11"/>
  <c r="I22" i="11"/>
  <c r="J22" i="11"/>
  <c r="K22" i="11"/>
  <c r="L22" i="11"/>
  <c r="M22" i="11"/>
  <c r="N22" i="11"/>
  <c r="O22" i="11"/>
  <c r="P22" i="11"/>
  <c r="C35" i="11"/>
  <c r="C31" i="11"/>
  <c r="J86" i="14" l="1"/>
  <c r="H21" i="14"/>
  <c r="J33" i="14"/>
  <c r="M67" i="14"/>
  <c r="J116" i="14"/>
  <c r="K126" i="14"/>
  <c r="K160" i="14"/>
  <c r="I120" i="14"/>
  <c r="I121" i="14" s="1"/>
  <c r="I20" i="14"/>
  <c r="L56" i="14"/>
  <c r="I107" i="14"/>
  <c r="I102" i="14" s="1"/>
  <c r="J21" i="14"/>
  <c r="I53" i="14"/>
  <c r="K96" i="14"/>
  <c r="J107" i="14"/>
  <c r="J102" i="14" s="1"/>
  <c r="K99" i="14" s="1"/>
  <c r="L121" i="14"/>
  <c r="K121" i="14"/>
  <c r="K26" i="14"/>
  <c r="H30" i="14"/>
  <c r="J73" i="14"/>
  <c r="L96" i="14"/>
  <c r="K107" i="14"/>
  <c r="K102" i="14" s="1"/>
  <c r="K116" i="14"/>
  <c r="K56" i="14"/>
  <c r="I30" i="14"/>
  <c r="L50" i="14"/>
  <c r="L101" i="14"/>
  <c r="H116" i="14"/>
  <c r="H121" i="14"/>
  <c r="M121" i="14" s="1"/>
  <c r="M124" i="14" s="1"/>
  <c r="H160" i="14"/>
  <c r="P56" i="1"/>
  <c r="J68" i="14"/>
  <c r="J43" i="14"/>
  <c r="J46" i="14"/>
  <c r="J49" i="14"/>
  <c r="J97" i="14" s="1"/>
  <c r="J18" i="14"/>
  <c r="H26" i="14"/>
  <c r="H33" i="14"/>
  <c r="K30" i="14"/>
  <c r="I26" i="14"/>
  <c r="I33" i="14"/>
  <c r="J26" i="14"/>
  <c r="L30" i="14"/>
  <c r="M30" i="14" s="1"/>
  <c r="N30" i="14" s="1"/>
  <c r="O30" i="14" s="1"/>
  <c r="P30" i="14" s="1"/>
  <c r="Q30" i="14" s="1"/>
  <c r="R30" i="14" s="1"/>
  <c r="S30" i="14" s="1"/>
  <c r="T30" i="14" s="1"/>
  <c r="U30" i="14" s="1"/>
  <c r="V30" i="14" s="1"/>
  <c r="J37" i="14"/>
  <c r="K28" i="14"/>
  <c r="M28" i="14" s="1"/>
  <c r="J30" i="14"/>
  <c r="K37" i="14"/>
  <c r="M17" i="14"/>
  <c r="L21" i="14"/>
  <c r="K75" i="14"/>
  <c r="K74" i="14" s="1"/>
  <c r="K80" i="14"/>
  <c r="L26" i="14"/>
  <c r="L37" i="14"/>
  <c r="I50" i="14"/>
  <c r="L75" i="14"/>
  <c r="L74" i="14" s="1"/>
  <c r="L80" i="14"/>
  <c r="L81" i="14" s="1"/>
  <c r="K32" i="14"/>
  <c r="L43" i="14"/>
  <c r="L18" i="14"/>
  <c r="L68" i="14"/>
  <c r="L69" i="14" s="1"/>
  <c r="L46" i="14"/>
  <c r="L49" i="14"/>
  <c r="L97" i="14" s="1"/>
  <c r="I99" i="14"/>
  <c r="K20" i="14"/>
  <c r="J80" i="14"/>
  <c r="J75" i="14"/>
  <c r="J74" i="14" s="1"/>
  <c r="J99" i="14"/>
  <c r="J100" i="14" s="1"/>
  <c r="J93" i="14" s="1"/>
  <c r="I100" i="14"/>
  <c r="I93" i="14" s="1"/>
  <c r="J39" i="14"/>
  <c r="M39" i="14" s="1"/>
  <c r="N39" i="14" s="1"/>
  <c r="O39" i="14" s="1"/>
  <c r="P39" i="14" s="1"/>
  <c r="Q39" i="14" s="1"/>
  <c r="R39" i="14" s="1"/>
  <c r="S39" i="14" s="1"/>
  <c r="T39" i="14" s="1"/>
  <c r="U39" i="14" s="1"/>
  <c r="V39" i="14" s="1"/>
  <c r="L32" i="14"/>
  <c r="J32" i="14"/>
  <c r="K39" i="14"/>
  <c r="L99" i="14"/>
  <c r="K18" i="14"/>
  <c r="K68" i="14"/>
  <c r="K43" i="14"/>
  <c r="K46" i="14"/>
  <c r="K49" i="14"/>
  <c r="K97" i="14" s="1"/>
  <c r="K21" i="14"/>
  <c r="L20" i="14"/>
  <c r="K81" i="14"/>
  <c r="I37" i="14"/>
  <c r="I68" i="14"/>
  <c r="I43" i="14"/>
  <c r="I46" i="14"/>
  <c r="I18" i="14"/>
  <c r="L39" i="14"/>
  <c r="L57" i="14"/>
  <c r="J53" i="14"/>
  <c r="H56" i="14"/>
  <c r="I126" i="14"/>
  <c r="J69" i="14"/>
  <c r="J126" i="14"/>
  <c r="H50" i="14"/>
  <c r="J56" i="14"/>
  <c r="H69" i="14"/>
  <c r="J85" i="14"/>
  <c r="J88" i="14" s="1"/>
  <c r="K67" i="14"/>
  <c r="M122" i="14"/>
  <c r="J50" i="14"/>
  <c r="I101" i="14"/>
  <c r="I131" i="14"/>
  <c r="I96" i="14"/>
  <c r="I56" i="14"/>
  <c r="I57" i="14" s="1"/>
  <c r="I55" i="14"/>
  <c r="I67" i="14"/>
  <c r="H101" i="14"/>
  <c r="H100" i="14" s="1"/>
  <c r="H93" i="14" s="1"/>
  <c r="I116" i="14"/>
  <c r="H131" i="14"/>
  <c r="H132" i="14" s="1"/>
  <c r="J96" i="14"/>
  <c r="J101" i="14"/>
  <c r="K55" i="14"/>
  <c r="I85" i="14"/>
  <c r="I88" i="14" s="1"/>
  <c r="I89" i="14" s="1"/>
  <c r="I133" i="14" s="1"/>
  <c r="K86" i="14"/>
  <c r="L100" i="14"/>
  <c r="L93" i="14" s="1"/>
  <c r="J131" i="14"/>
  <c r="H49" i="14"/>
  <c r="L53" i="14"/>
  <c r="L55" i="14"/>
  <c r="K85" i="14"/>
  <c r="L86" i="14"/>
  <c r="L88" i="14" s="1"/>
  <c r="J55" i="14"/>
  <c r="I49" i="14"/>
  <c r="I97" i="14" s="1"/>
  <c r="J81" i="14"/>
  <c r="L87" i="14"/>
  <c r="M79" i="14"/>
  <c r="M99" i="14"/>
  <c r="N122" i="14"/>
  <c r="K101" i="14"/>
  <c r="I160" i="14"/>
  <c r="K50" i="14"/>
  <c r="H22" i="12"/>
  <c r="J22" i="12"/>
  <c r="J39" i="12" s="1"/>
  <c r="I22" i="12"/>
  <c r="I39" i="12" s="1"/>
  <c r="L22" i="12"/>
  <c r="L26" i="12" s="1"/>
  <c r="L38" i="12" s="1"/>
  <c r="K22" i="12"/>
  <c r="K39" i="12" s="1"/>
  <c r="G22" i="12"/>
  <c r="C32" i="11"/>
  <c r="K24" i="11"/>
  <c r="B11" i="11"/>
  <c r="B21" i="11" s="1"/>
  <c r="I137" i="8"/>
  <c r="J137" i="8"/>
  <c r="K137" i="8"/>
  <c r="L137" i="8"/>
  <c r="I138" i="8"/>
  <c r="J138" i="8"/>
  <c r="K138" i="8"/>
  <c r="L138" i="8"/>
  <c r="I139" i="8"/>
  <c r="J139" i="8"/>
  <c r="K139" i="8"/>
  <c r="L139" i="8"/>
  <c r="I140" i="8"/>
  <c r="J140" i="8"/>
  <c r="K140" i="8"/>
  <c r="L140" i="8"/>
  <c r="I141" i="8"/>
  <c r="J141" i="8"/>
  <c r="K141" i="8"/>
  <c r="L141" i="8"/>
  <c r="H138" i="8"/>
  <c r="H139" i="8"/>
  <c r="H140" i="8"/>
  <c r="H141" i="8"/>
  <c r="H137" i="8"/>
  <c r="N146" i="8"/>
  <c r="O146" i="8"/>
  <c r="P146" i="8"/>
  <c r="J74" i="10"/>
  <c r="K74" i="10"/>
  <c r="L74" i="10"/>
  <c r="M74" i="10"/>
  <c r="N74" i="10"/>
  <c r="O74" i="10"/>
  <c r="P74" i="10"/>
  <c r="Q74" i="10"/>
  <c r="R74" i="10"/>
  <c r="I117" i="8"/>
  <c r="J113" i="8" s="1"/>
  <c r="J117" i="8"/>
  <c r="K113" i="8" s="1"/>
  <c r="K117" i="8"/>
  <c r="L117" i="8"/>
  <c r="H117" i="8"/>
  <c r="I62" i="10"/>
  <c r="J62" i="10" s="1"/>
  <c r="K62" i="10" s="1"/>
  <c r="I135" i="8"/>
  <c r="J135" i="8"/>
  <c r="K135" i="8"/>
  <c r="L135" i="8"/>
  <c r="H135" i="8"/>
  <c r="I149" i="8"/>
  <c r="J149" i="8"/>
  <c r="K149" i="8"/>
  <c r="L149" i="8"/>
  <c r="H149" i="8"/>
  <c r="H133" i="8"/>
  <c r="E61" i="10"/>
  <c r="F61" i="10"/>
  <c r="G61" i="10"/>
  <c r="H61" i="10"/>
  <c r="D61" i="10"/>
  <c r="E44" i="10"/>
  <c r="F44" i="10"/>
  <c r="G44" i="10"/>
  <c r="H44" i="10"/>
  <c r="I44" i="10" s="1"/>
  <c r="J44" i="10" s="1"/>
  <c r="K44" i="10" s="1"/>
  <c r="L44" i="10" s="1"/>
  <c r="M44" i="10" s="1"/>
  <c r="N44" i="10" s="1"/>
  <c r="O44" i="10" s="1"/>
  <c r="P44" i="10" s="1"/>
  <c r="Q44" i="10" s="1"/>
  <c r="R44" i="10" s="1"/>
  <c r="D44" i="10"/>
  <c r="E43" i="10"/>
  <c r="F43" i="10"/>
  <c r="G43" i="10"/>
  <c r="H43" i="10"/>
  <c r="I43" i="10" s="1"/>
  <c r="J43" i="10" s="1"/>
  <c r="K43" i="10" s="1"/>
  <c r="L43" i="10" s="1"/>
  <c r="M43" i="10" s="1"/>
  <c r="N43" i="10" s="1"/>
  <c r="O43" i="10" s="1"/>
  <c r="P43" i="10" s="1"/>
  <c r="Q43" i="10" s="1"/>
  <c r="R43" i="10" s="1"/>
  <c r="D43" i="10"/>
  <c r="E42" i="10"/>
  <c r="F42" i="10"/>
  <c r="G42" i="10"/>
  <c r="H42" i="10"/>
  <c r="I42" i="10" s="1"/>
  <c r="J42" i="10" s="1"/>
  <c r="K42" i="10" s="1"/>
  <c r="L42" i="10" s="1"/>
  <c r="M42" i="10" s="1"/>
  <c r="N42" i="10" s="1"/>
  <c r="O42" i="10" s="1"/>
  <c r="P42" i="10" s="1"/>
  <c r="Q42" i="10" s="1"/>
  <c r="R42" i="10" s="1"/>
  <c r="D42" i="10"/>
  <c r="E41" i="10"/>
  <c r="F41" i="10"/>
  <c r="G41" i="10"/>
  <c r="H41" i="10"/>
  <c r="I41" i="10" s="1"/>
  <c r="J41" i="10" s="1"/>
  <c r="K41" i="10" s="1"/>
  <c r="L41" i="10" s="1"/>
  <c r="M41" i="10" s="1"/>
  <c r="N41" i="10" s="1"/>
  <c r="O41" i="10" s="1"/>
  <c r="P41" i="10" s="1"/>
  <c r="Q41" i="10" s="1"/>
  <c r="R41" i="10" s="1"/>
  <c r="D41" i="10"/>
  <c r="D54" i="10"/>
  <c r="E54" i="10"/>
  <c r="F54" i="10"/>
  <c r="G54" i="10"/>
  <c r="H54" i="10"/>
  <c r="E47" i="10"/>
  <c r="F47" i="10"/>
  <c r="G47" i="10"/>
  <c r="H47" i="10"/>
  <c r="D47" i="10"/>
  <c r="M151" i="8"/>
  <c r="N151" i="8"/>
  <c r="O151" i="8"/>
  <c r="P151" i="8"/>
  <c r="Q151" i="8"/>
  <c r="R151" i="8"/>
  <c r="S151" i="8"/>
  <c r="T151" i="8"/>
  <c r="U151" i="8"/>
  <c r="V151" i="8"/>
  <c r="I159" i="8"/>
  <c r="I150" i="8" s="1"/>
  <c r="J159" i="8"/>
  <c r="J150" i="8" s="1"/>
  <c r="K159" i="8"/>
  <c r="K150" i="8" s="1"/>
  <c r="L159" i="8"/>
  <c r="L150" i="8" s="1"/>
  <c r="H159" i="8"/>
  <c r="H150" i="8" s="1"/>
  <c r="I161" i="8"/>
  <c r="E49" i="10" s="1"/>
  <c r="J161" i="8"/>
  <c r="F49" i="10" s="1"/>
  <c r="K161" i="8"/>
  <c r="L157" i="8" s="1"/>
  <c r="L161" i="8"/>
  <c r="H49" i="10" s="1"/>
  <c r="H161" i="8"/>
  <c r="I157" i="8" s="1"/>
  <c r="I154" i="8"/>
  <c r="E29" i="10" s="1"/>
  <c r="D20" i="13" s="1"/>
  <c r="J154" i="8"/>
  <c r="F29" i="10" s="1"/>
  <c r="E20" i="13" s="1"/>
  <c r="K154" i="8"/>
  <c r="G29" i="10" s="1"/>
  <c r="F20" i="13" s="1"/>
  <c r="L154" i="8"/>
  <c r="M129" i="8" s="1"/>
  <c r="H154" i="8"/>
  <c r="D29" i="10" s="1"/>
  <c r="I153" i="8"/>
  <c r="J153" i="8"/>
  <c r="K153" i="8"/>
  <c r="L153" i="8"/>
  <c r="H153" i="8"/>
  <c r="Q146" i="8"/>
  <c r="R146" i="8"/>
  <c r="S146" i="8"/>
  <c r="T146" i="8"/>
  <c r="U146" i="8"/>
  <c r="V146" i="8"/>
  <c r="I134" i="8"/>
  <c r="J134" i="8"/>
  <c r="K134" i="8"/>
  <c r="L134" i="8"/>
  <c r="H134" i="8"/>
  <c r="E99" i="10"/>
  <c r="F99" i="10"/>
  <c r="G99" i="10"/>
  <c r="H99" i="10"/>
  <c r="I98" i="10" s="1"/>
  <c r="D99" i="10"/>
  <c r="E98" i="10"/>
  <c r="F98" i="10"/>
  <c r="G98" i="10"/>
  <c r="H98" i="10"/>
  <c r="D98" i="10"/>
  <c r="E97" i="10"/>
  <c r="F97" i="10"/>
  <c r="G97" i="10"/>
  <c r="H97" i="10"/>
  <c r="D97" i="10"/>
  <c r="E94" i="10"/>
  <c r="F94" i="10"/>
  <c r="G94" i="10"/>
  <c r="H94" i="10"/>
  <c r="D94" i="10"/>
  <c r="E92" i="10"/>
  <c r="F92" i="10"/>
  <c r="G92" i="10"/>
  <c r="H92" i="10"/>
  <c r="D92" i="10"/>
  <c r="E91" i="10"/>
  <c r="F91" i="10"/>
  <c r="G91" i="10"/>
  <c r="H91" i="10"/>
  <c r="D91" i="10"/>
  <c r="D90" i="10"/>
  <c r="H148" i="8" s="1"/>
  <c r="J90" i="10"/>
  <c r="K90" i="10"/>
  <c r="L90" i="10"/>
  <c r="M90" i="10"/>
  <c r="N90" i="10"/>
  <c r="O90" i="10"/>
  <c r="P90" i="10"/>
  <c r="Q90" i="10"/>
  <c r="R90" i="10"/>
  <c r="I90" i="10"/>
  <c r="F90" i="10"/>
  <c r="J148" i="8" s="1"/>
  <c r="E90" i="10"/>
  <c r="I148" i="8" s="1"/>
  <c r="G90" i="10"/>
  <c r="K148" i="8" s="1"/>
  <c r="H90" i="10"/>
  <c r="L148" i="8" s="1"/>
  <c r="E85" i="10"/>
  <c r="F85" i="10"/>
  <c r="G85" i="10"/>
  <c r="H85" i="10"/>
  <c r="D85" i="10"/>
  <c r="E84" i="10"/>
  <c r="I146" i="8" s="1"/>
  <c r="F84" i="10"/>
  <c r="J146" i="8" s="1"/>
  <c r="G84" i="10"/>
  <c r="K146" i="8" s="1"/>
  <c r="H84" i="10"/>
  <c r="L146" i="8" s="1"/>
  <c r="D84" i="10"/>
  <c r="H146" i="8" s="1"/>
  <c r="E77" i="10"/>
  <c r="F77" i="10"/>
  <c r="G77" i="10"/>
  <c r="H77" i="10"/>
  <c r="D77" i="10"/>
  <c r="E76" i="10"/>
  <c r="F76" i="10"/>
  <c r="G76" i="10"/>
  <c r="H76" i="10"/>
  <c r="D76" i="10"/>
  <c r="H78" i="10"/>
  <c r="E78" i="10"/>
  <c r="F78" i="10"/>
  <c r="G78" i="10"/>
  <c r="D78" i="10"/>
  <c r="E72" i="10"/>
  <c r="I130" i="8" s="1"/>
  <c r="F72" i="10"/>
  <c r="J130" i="8" s="1"/>
  <c r="G72" i="10"/>
  <c r="K130" i="8" s="1"/>
  <c r="H72" i="10"/>
  <c r="L130" i="8" s="1"/>
  <c r="D72" i="10"/>
  <c r="H130" i="8" s="1"/>
  <c r="I129" i="8"/>
  <c r="J129" i="8"/>
  <c r="K129" i="8"/>
  <c r="L129" i="8"/>
  <c r="H129" i="8"/>
  <c r="L124" i="8"/>
  <c r="D65" i="10"/>
  <c r="E65" i="10"/>
  <c r="F65" i="10"/>
  <c r="G65" i="10"/>
  <c r="H65" i="10"/>
  <c r="E64" i="10"/>
  <c r="F64" i="10"/>
  <c r="G64" i="10"/>
  <c r="H64" i="10"/>
  <c r="D64" i="10"/>
  <c r="D59" i="10"/>
  <c r="E59" i="10"/>
  <c r="F59" i="10"/>
  <c r="G59" i="10"/>
  <c r="H59" i="10"/>
  <c r="E58" i="10"/>
  <c r="F58" i="10"/>
  <c r="G58" i="10"/>
  <c r="H58" i="10"/>
  <c r="D58" i="10"/>
  <c r="D55" i="10"/>
  <c r="E55" i="10"/>
  <c r="F55" i="10"/>
  <c r="G55" i="10"/>
  <c r="H55" i="10"/>
  <c r="I55" i="10" s="1"/>
  <c r="J55" i="10" s="1"/>
  <c r="K55" i="10" s="1"/>
  <c r="L55" i="10" s="1"/>
  <c r="M55" i="10" s="1"/>
  <c r="N55" i="10" s="1"/>
  <c r="O55" i="10" s="1"/>
  <c r="P55" i="10" s="1"/>
  <c r="Q55" i="10" s="1"/>
  <c r="R55" i="10" s="1"/>
  <c r="D56" i="10"/>
  <c r="E56" i="10"/>
  <c r="F56" i="10"/>
  <c r="G56" i="10"/>
  <c r="H56" i="10"/>
  <c r="I56" i="10" s="1"/>
  <c r="J56" i="10" s="1"/>
  <c r="K56" i="10" s="1"/>
  <c r="L56" i="10" s="1"/>
  <c r="M56" i="10" s="1"/>
  <c r="N56" i="10" s="1"/>
  <c r="O56" i="10" s="1"/>
  <c r="P56" i="10" s="1"/>
  <c r="Q56" i="10" s="1"/>
  <c r="R56" i="10" s="1"/>
  <c r="E53" i="10"/>
  <c r="F53" i="10"/>
  <c r="G53" i="10"/>
  <c r="H53" i="10"/>
  <c r="D53" i="10"/>
  <c r="E48" i="10"/>
  <c r="F48" i="10"/>
  <c r="G48" i="10"/>
  <c r="H48" i="10"/>
  <c r="I48" i="10" s="1"/>
  <c r="J48" i="10" s="1"/>
  <c r="K48" i="10" s="1"/>
  <c r="L48" i="10" s="1"/>
  <c r="M48" i="10" s="1"/>
  <c r="N48" i="10" s="1"/>
  <c r="O48" i="10" s="1"/>
  <c r="P48" i="10" s="1"/>
  <c r="Q48" i="10" s="1"/>
  <c r="R48" i="10" s="1"/>
  <c r="E51" i="10"/>
  <c r="F51" i="10"/>
  <c r="G51" i="10"/>
  <c r="H51" i="10"/>
  <c r="I51" i="10" s="1"/>
  <c r="J51" i="10" s="1"/>
  <c r="K51" i="10" s="1"/>
  <c r="L51" i="10" s="1"/>
  <c r="M51" i="10" s="1"/>
  <c r="N51" i="10" s="1"/>
  <c r="O51" i="10" s="1"/>
  <c r="P51" i="10" s="1"/>
  <c r="Q51" i="10" s="1"/>
  <c r="R51" i="10" s="1"/>
  <c r="D51" i="10"/>
  <c r="D48" i="10"/>
  <c r="E46" i="10"/>
  <c r="F46" i="10"/>
  <c r="G46" i="10"/>
  <c r="H46" i="10"/>
  <c r="D46" i="10"/>
  <c r="E36" i="10"/>
  <c r="F36" i="10"/>
  <c r="G36" i="10"/>
  <c r="H36" i="10"/>
  <c r="E37" i="10"/>
  <c r="F37" i="10"/>
  <c r="G37" i="10"/>
  <c r="H37" i="10"/>
  <c r="E38" i="10"/>
  <c r="F38" i="10"/>
  <c r="G38" i="10"/>
  <c r="H38" i="10"/>
  <c r="E39" i="10"/>
  <c r="F39" i="10"/>
  <c r="G39" i="10"/>
  <c r="H39" i="10"/>
  <c r="E40" i="10"/>
  <c r="F40" i="10"/>
  <c r="G40" i="10"/>
  <c r="H40" i="10"/>
  <c r="J33" i="11" s="1"/>
  <c r="D37" i="10"/>
  <c r="D38" i="10"/>
  <c r="D39" i="10"/>
  <c r="D40" i="10"/>
  <c r="D36" i="10"/>
  <c r="E34" i="10"/>
  <c r="F34" i="10"/>
  <c r="G34" i="10"/>
  <c r="H34" i="10"/>
  <c r="D34" i="10"/>
  <c r="E32" i="10"/>
  <c r="F32" i="10"/>
  <c r="G32" i="10"/>
  <c r="H32" i="10"/>
  <c r="D32" i="10"/>
  <c r="E31" i="10"/>
  <c r="F31" i="10"/>
  <c r="G31" i="10"/>
  <c r="H31" i="10"/>
  <c r="D31" i="10"/>
  <c r="E24" i="10"/>
  <c r="F24" i="10"/>
  <c r="D35" i="4"/>
  <c r="E35" i="4"/>
  <c r="F35" i="4"/>
  <c r="G24" i="10" s="1"/>
  <c r="G35" i="4"/>
  <c r="H24" i="10" s="1"/>
  <c r="C35" i="4"/>
  <c r="D24" i="10" s="1"/>
  <c r="E16" i="10"/>
  <c r="F16" i="10"/>
  <c r="G16" i="10"/>
  <c r="H16" i="10"/>
  <c r="E17" i="10"/>
  <c r="F17" i="10"/>
  <c r="G17" i="10"/>
  <c r="H17" i="10"/>
  <c r="E18" i="10"/>
  <c r="C9" i="11" s="1"/>
  <c r="C19" i="11" s="1"/>
  <c r="F18" i="10"/>
  <c r="D9" i="11" s="1"/>
  <c r="D19" i="11" s="1"/>
  <c r="G18" i="10"/>
  <c r="E9" i="11" s="1"/>
  <c r="E19" i="11" s="1"/>
  <c r="H18" i="10"/>
  <c r="F9" i="11" s="1"/>
  <c r="F19" i="11" s="1"/>
  <c r="E19" i="10"/>
  <c r="F19" i="10"/>
  <c r="G19" i="10"/>
  <c r="H19" i="10"/>
  <c r="D17" i="10"/>
  <c r="D18" i="10"/>
  <c r="B9" i="11" s="1"/>
  <c r="B19" i="11" s="1"/>
  <c r="D19" i="10"/>
  <c r="D16" i="10"/>
  <c r="E11" i="10"/>
  <c r="F11" i="10"/>
  <c r="G11" i="10"/>
  <c r="H11" i="10"/>
  <c r="E12" i="10"/>
  <c r="F12" i="10"/>
  <c r="G12" i="10"/>
  <c r="H12" i="10"/>
  <c r="E13" i="10"/>
  <c r="F13" i="10"/>
  <c r="G13" i="10"/>
  <c r="H13" i="10"/>
  <c r="E14" i="10"/>
  <c r="F14" i="10"/>
  <c r="G14" i="10"/>
  <c r="H14" i="10"/>
  <c r="E15" i="10"/>
  <c r="F15" i="10"/>
  <c r="G15" i="10"/>
  <c r="H15" i="10"/>
  <c r="D12" i="10"/>
  <c r="D13" i="10"/>
  <c r="D14" i="10"/>
  <c r="D15" i="10"/>
  <c r="D11" i="10"/>
  <c r="E9" i="10"/>
  <c r="F9" i="10"/>
  <c r="G9" i="10"/>
  <c r="H9" i="10"/>
  <c r="D9" i="10"/>
  <c r="E8" i="10"/>
  <c r="F8" i="10"/>
  <c r="G8" i="10"/>
  <c r="H8" i="10"/>
  <c r="D8" i="10"/>
  <c r="I122" i="8"/>
  <c r="J122" i="8"/>
  <c r="K122" i="8"/>
  <c r="L122" i="8"/>
  <c r="H122" i="8"/>
  <c r="I82" i="5"/>
  <c r="J82" i="5"/>
  <c r="K82" i="5"/>
  <c r="L82" i="5"/>
  <c r="I83" i="5"/>
  <c r="J83" i="5"/>
  <c r="K83" i="5"/>
  <c r="L83" i="5"/>
  <c r="H83" i="5"/>
  <c r="I124" i="8"/>
  <c r="J124" i="8"/>
  <c r="K124" i="8"/>
  <c r="H124" i="8"/>
  <c r="H82" i="5"/>
  <c r="I115" i="8"/>
  <c r="J115" i="8"/>
  <c r="K115" i="8"/>
  <c r="L115" i="8"/>
  <c r="H115" i="8"/>
  <c r="I114" i="8"/>
  <c r="J114" i="8"/>
  <c r="K114" i="8"/>
  <c r="L114" i="8"/>
  <c r="H114" i="8"/>
  <c r="C105" i="5"/>
  <c r="H58" i="5"/>
  <c r="H77" i="5" s="1"/>
  <c r="I58" i="5"/>
  <c r="J58" i="5"/>
  <c r="K58" i="5"/>
  <c r="L58" i="5"/>
  <c r="I54" i="5"/>
  <c r="J54" i="5"/>
  <c r="K54" i="5"/>
  <c r="L54" i="5"/>
  <c r="H54" i="5"/>
  <c r="I50" i="5"/>
  <c r="J50" i="5"/>
  <c r="K50" i="5"/>
  <c r="L50" i="5"/>
  <c r="H50" i="5"/>
  <c r="I46" i="5"/>
  <c r="J46" i="5"/>
  <c r="K46" i="5"/>
  <c r="L46" i="5"/>
  <c r="H46" i="5"/>
  <c r="I43" i="5"/>
  <c r="J43" i="5"/>
  <c r="K43" i="5"/>
  <c r="L43" i="5"/>
  <c r="H43" i="5"/>
  <c r="I36" i="5"/>
  <c r="J36" i="5"/>
  <c r="K36" i="5"/>
  <c r="L36" i="5"/>
  <c r="H36" i="5"/>
  <c r="I33" i="5"/>
  <c r="J33" i="5"/>
  <c r="K33" i="5"/>
  <c r="L33" i="5"/>
  <c r="H33" i="5"/>
  <c r="I30" i="5"/>
  <c r="J30" i="5"/>
  <c r="K30" i="5"/>
  <c r="L30" i="5"/>
  <c r="H30" i="5"/>
  <c r="I27" i="5"/>
  <c r="J27" i="5"/>
  <c r="K27" i="5"/>
  <c r="L27" i="5"/>
  <c r="H27" i="5"/>
  <c r="I21" i="5"/>
  <c r="J21" i="5"/>
  <c r="K21" i="5"/>
  <c r="L21" i="5"/>
  <c r="H21" i="5"/>
  <c r="I18" i="5"/>
  <c r="J18" i="5"/>
  <c r="K18" i="5"/>
  <c r="K19" i="5" s="1"/>
  <c r="L18" i="5"/>
  <c r="H18" i="5"/>
  <c r="H59" i="5" s="1"/>
  <c r="J19" i="5"/>
  <c r="L19" i="5"/>
  <c r="V6" i="5"/>
  <c r="U6" i="5"/>
  <c r="T6" i="5"/>
  <c r="S6" i="5"/>
  <c r="R6" i="5"/>
  <c r="Q6" i="5"/>
  <c r="P6" i="5"/>
  <c r="O6" i="5"/>
  <c r="N6" i="5"/>
  <c r="M6" i="5"/>
  <c r="L6" i="5"/>
  <c r="K6" i="5"/>
  <c r="J6" i="5"/>
  <c r="I6" i="5"/>
  <c r="H6" i="5"/>
  <c r="I47" i="5"/>
  <c r="H47" i="5"/>
  <c r="I106" i="8"/>
  <c r="J106" i="8"/>
  <c r="K106" i="8"/>
  <c r="L106" i="8"/>
  <c r="H106" i="8"/>
  <c r="I105" i="8"/>
  <c r="J105" i="8"/>
  <c r="K105" i="8"/>
  <c r="L105" i="8"/>
  <c r="H105" i="8"/>
  <c r="I104" i="8"/>
  <c r="J104" i="8"/>
  <c r="K104" i="8"/>
  <c r="L104" i="8"/>
  <c r="H104" i="8"/>
  <c r="I82" i="8"/>
  <c r="J82" i="8"/>
  <c r="K82" i="8"/>
  <c r="L82" i="8"/>
  <c r="H82" i="8"/>
  <c r="I76" i="8"/>
  <c r="I86" i="8" s="1"/>
  <c r="J76" i="8"/>
  <c r="J86" i="8" s="1"/>
  <c r="K76" i="8"/>
  <c r="L76" i="8"/>
  <c r="H76" i="8"/>
  <c r="I70" i="8"/>
  <c r="J70" i="8"/>
  <c r="K70" i="8"/>
  <c r="K85" i="8" s="1"/>
  <c r="L70" i="8"/>
  <c r="H70" i="8"/>
  <c r="I6" i="8"/>
  <c r="I62" i="8" s="1"/>
  <c r="J6" i="8"/>
  <c r="J62" i="8" s="1"/>
  <c r="K6" i="8"/>
  <c r="K62" i="8" s="1"/>
  <c r="L6" i="8"/>
  <c r="L62" i="8" s="1"/>
  <c r="M6" i="8"/>
  <c r="M62" i="8" s="1"/>
  <c r="N6" i="8"/>
  <c r="N62" i="8" s="1"/>
  <c r="O6" i="8"/>
  <c r="O62" i="8" s="1"/>
  <c r="P6" i="8"/>
  <c r="P62" i="8" s="1"/>
  <c r="Q6" i="8"/>
  <c r="Q62" i="8" s="1"/>
  <c r="R6" i="8"/>
  <c r="R62" i="8" s="1"/>
  <c r="S6" i="8"/>
  <c r="S62" i="8" s="1"/>
  <c r="T6" i="8"/>
  <c r="T62" i="8" s="1"/>
  <c r="U6" i="8"/>
  <c r="U62" i="8" s="1"/>
  <c r="V6" i="8"/>
  <c r="V62" i="8" s="1"/>
  <c r="H6" i="8"/>
  <c r="H62" i="8" s="1"/>
  <c r="H65" i="14" s="1"/>
  <c r="I45" i="8"/>
  <c r="E93" i="10" s="1"/>
  <c r="J45" i="8"/>
  <c r="F93" i="10" s="1"/>
  <c r="K45" i="8"/>
  <c r="G93" i="10" s="1"/>
  <c r="L45" i="8"/>
  <c r="H45" i="8"/>
  <c r="D93" i="10" s="1"/>
  <c r="C26" i="4"/>
  <c r="I48" i="8"/>
  <c r="E73" i="10" s="1"/>
  <c r="J48" i="8"/>
  <c r="F73" i="10" s="1"/>
  <c r="K48" i="8"/>
  <c r="G73" i="10" s="1"/>
  <c r="L48" i="8"/>
  <c r="H73" i="10" s="1"/>
  <c r="H48" i="8"/>
  <c r="H131" i="8" s="1"/>
  <c r="I42" i="8"/>
  <c r="J42" i="8"/>
  <c r="K42" i="8"/>
  <c r="L42" i="8"/>
  <c r="H42" i="8"/>
  <c r="I38" i="8"/>
  <c r="J38" i="8"/>
  <c r="K38" i="8"/>
  <c r="L38" i="8"/>
  <c r="H38" i="8"/>
  <c r="I36" i="8"/>
  <c r="J36" i="8"/>
  <c r="K36" i="8"/>
  <c r="L36" i="8"/>
  <c r="H36" i="8"/>
  <c r="I31" i="8"/>
  <c r="J31" i="8"/>
  <c r="K31" i="8"/>
  <c r="L31" i="8"/>
  <c r="H31" i="8"/>
  <c r="I29" i="8"/>
  <c r="J29" i="8"/>
  <c r="K29" i="8"/>
  <c r="L29" i="8"/>
  <c r="H29" i="8"/>
  <c r="I27" i="8"/>
  <c r="J27" i="8"/>
  <c r="K27" i="8"/>
  <c r="L27" i="8"/>
  <c r="H27" i="8"/>
  <c r="I25" i="8"/>
  <c r="J25" i="8"/>
  <c r="K25" i="8"/>
  <c r="L25" i="8"/>
  <c r="H25" i="8"/>
  <c r="I19" i="8"/>
  <c r="J19" i="8"/>
  <c r="K19" i="8"/>
  <c r="L19" i="8"/>
  <c r="H19" i="8"/>
  <c r="I17" i="8"/>
  <c r="I63" i="14" s="1"/>
  <c r="J17" i="8"/>
  <c r="K17" i="8"/>
  <c r="K63" i="14" s="1"/>
  <c r="L17" i="8"/>
  <c r="H17" i="8"/>
  <c r="D32" i="3"/>
  <c r="D34" i="3" s="1"/>
  <c r="D53" i="3" s="1"/>
  <c r="E66" i="10" s="1"/>
  <c r="E32" i="3"/>
  <c r="E34" i="3" s="1"/>
  <c r="E53" i="3" s="1"/>
  <c r="F66" i="10" s="1"/>
  <c r="F32" i="3"/>
  <c r="F34" i="3" s="1"/>
  <c r="F53" i="3" s="1"/>
  <c r="G66" i="10" s="1"/>
  <c r="G32" i="3"/>
  <c r="G34" i="3" s="1"/>
  <c r="G53" i="3" s="1"/>
  <c r="H66" i="10" s="1"/>
  <c r="C32" i="3"/>
  <c r="C34" i="3" s="1"/>
  <c r="C53" i="3" s="1"/>
  <c r="D66" i="10" s="1"/>
  <c r="D26" i="3"/>
  <c r="E26" i="3"/>
  <c r="F26" i="3"/>
  <c r="G26" i="3"/>
  <c r="C26" i="3"/>
  <c r="D19" i="3"/>
  <c r="D28" i="3" s="1"/>
  <c r="E19" i="3"/>
  <c r="E28" i="3" s="1"/>
  <c r="F19" i="3"/>
  <c r="F28" i="3" s="1"/>
  <c r="G19" i="3"/>
  <c r="G28" i="3" s="1"/>
  <c r="C19" i="3"/>
  <c r="C28" i="3" s="1"/>
  <c r="D26" i="4"/>
  <c r="E26" i="4"/>
  <c r="F26" i="4"/>
  <c r="G26" i="4"/>
  <c r="D14" i="4"/>
  <c r="E14" i="4"/>
  <c r="F14" i="4"/>
  <c r="G10" i="10" s="1"/>
  <c r="G14" i="4"/>
  <c r="H10" i="10" s="1"/>
  <c r="C14" i="4"/>
  <c r="D10" i="10" s="1"/>
  <c r="J57" i="14" l="1"/>
  <c r="I69" i="14"/>
  <c r="K69" i="14"/>
  <c r="M37" i="14"/>
  <c r="N37" i="14" s="1"/>
  <c r="O37" i="14" s="1"/>
  <c r="P37" i="14" s="1"/>
  <c r="Q37" i="14" s="1"/>
  <c r="R37" i="14" s="1"/>
  <c r="S37" i="14" s="1"/>
  <c r="T37" i="14" s="1"/>
  <c r="U37" i="14" s="1"/>
  <c r="V37" i="14" s="1"/>
  <c r="M43" i="14"/>
  <c r="N43" i="14" s="1"/>
  <c r="O43" i="14" s="1"/>
  <c r="P43" i="14" s="1"/>
  <c r="Q43" i="14" s="1"/>
  <c r="R43" i="14" s="1"/>
  <c r="S43" i="14" s="1"/>
  <c r="T43" i="14" s="1"/>
  <c r="U43" i="14" s="1"/>
  <c r="V43" i="14" s="1"/>
  <c r="M32" i="14"/>
  <c r="N32" i="14" s="1"/>
  <c r="O32" i="14" s="1"/>
  <c r="P32" i="14" s="1"/>
  <c r="Q32" i="14" s="1"/>
  <c r="R32" i="14" s="1"/>
  <c r="S32" i="14" s="1"/>
  <c r="T32" i="14" s="1"/>
  <c r="U32" i="14" s="1"/>
  <c r="V32" i="14" s="1"/>
  <c r="I132" i="14"/>
  <c r="K88" i="14"/>
  <c r="K89" i="14" s="1"/>
  <c r="K133" i="14" s="1"/>
  <c r="K132" i="14" s="1"/>
  <c r="K100" i="14"/>
  <c r="K93" i="14" s="1"/>
  <c r="M20" i="14"/>
  <c r="J65" i="14"/>
  <c r="U148" i="8"/>
  <c r="U148" i="14"/>
  <c r="H63" i="14"/>
  <c r="T148" i="8"/>
  <c r="T148" i="14"/>
  <c r="L64" i="14"/>
  <c r="H151" i="8"/>
  <c r="H151" i="14"/>
  <c r="S148" i="8"/>
  <c r="S148" i="14"/>
  <c r="R148" i="8"/>
  <c r="R148" i="14"/>
  <c r="I151" i="8"/>
  <c r="I151" i="14"/>
  <c r="H64" i="14"/>
  <c r="I65" i="14"/>
  <c r="L63" i="14"/>
  <c r="K64" i="14"/>
  <c r="J63" i="14"/>
  <c r="J64" i="14"/>
  <c r="K151" i="8"/>
  <c r="K151" i="14"/>
  <c r="Q148" i="8"/>
  <c r="Q148" i="14"/>
  <c r="I64" i="14"/>
  <c r="J151" i="8"/>
  <c r="J151" i="14"/>
  <c r="P148" i="8"/>
  <c r="P148" i="14"/>
  <c r="O148" i="8"/>
  <c r="O148" i="14"/>
  <c r="N148" i="8"/>
  <c r="N148" i="14"/>
  <c r="M148" i="8"/>
  <c r="M148" i="14"/>
  <c r="L65" i="14"/>
  <c r="K65" i="14"/>
  <c r="M65" i="14" s="1"/>
  <c r="N65" i="14" s="1"/>
  <c r="O65" i="14" s="1"/>
  <c r="P65" i="14" s="1"/>
  <c r="Q65" i="14" s="1"/>
  <c r="R65" i="14" s="1"/>
  <c r="S65" i="14" s="1"/>
  <c r="T65" i="14" s="1"/>
  <c r="U65" i="14" s="1"/>
  <c r="V65" i="14" s="1"/>
  <c r="V148" i="8"/>
  <c r="V148" i="14"/>
  <c r="H145" i="14"/>
  <c r="H94" i="14"/>
  <c r="J145" i="14"/>
  <c r="J94" i="14"/>
  <c r="S28" i="14"/>
  <c r="R28" i="14"/>
  <c r="P28" i="14"/>
  <c r="Q28" i="14"/>
  <c r="V28" i="14"/>
  <c r="U28" i="14"/>
  <c r="N28" i="14"/>
  <c r="T28" i="14"/>
  <c r="O28" i="14"/>
  <c r="K94" i="14"/>
  <c r="K145" i="14"/>
  <c r="N20" i="14"/>
  <c r="V20" i="14"/>
  <c r="U20" i="14"/>
  <c r="S20" i="14"/>
  <c r="R20" i="14"/>
  <c r="Q20" i="14"/>
  <c r="P20" i="14"/>
  <c r="O20" i="14"/>
  <c r="T20" i="14"/>
  <c r="L145" i="14"/>
  <c r="L94" i="14"/>
  <c r="N149" i="14"/>
  <c r="K57" i="14"/>
  <c r="I145" i="14"/>
  <c r="I94" i="14"/>
  <c r="N120" i="14"/>
  <c r="M126" i="14"/>
  <c r="H80" i="14"/>
  <c r="H81" i="14" s="1"/>
  <c r="H75" i="14"/>
  <c r="H74" i="14" s="1"/>
  <c r="M26" i="14"/>
  <c r="N26" i="14" s="1"/>
  <c r="O26" i="14" s="1"/>
  <c r="P26" i="14" s="1"/>
  <c r="Q26" i="14" s="1"/>
  <c r="R26" i="14" s="1"/>
  <c r="S26" i="14" s="1"/>
  <c r="T26" i="14" s="1"/>
  <c r="U26" i="14" s="1"/>
  <c r="V26" i="14" s="1"/>
  <c r="J89" i="14"/>
  <c r="J133" i="14" s="1"/>
  <c r="J132" i="14" s="1"/>
  <c r="M46" i="14"/>
  <c r="M68" i="14"/>
  <c r="M29" i="14"/>
  <c r="M27" i="14"/>
  <c r="M38" i="14"/>
  <c r="M42" i="14"/>
  <c r="M19" i="14"/>
  <c r="M21" i="14" s="1"/>
  <c r="N17" i="14"/>
  <c r="I75" i="14"/>
  <c r="I74" i="14" s="1"/>
  <c r="I80" i="14"/>
  <c r="I81" i="14" s="1"/>
  <c r="H97" i="14"/>
  <c r="M97" i="14" s="1"/>
  <c r="N97" i="14" s="1"/>
  <c r="O97" i="14" s="1"/>
  <c r="P97" i="14" s="1"/>
  <c r="Q97" i="14" s="1"/>
  <c r="R97" i="14" s="1"/>
  <c r="S97" i="14" s="1"/>
  <c r="T97" i="14" s="1"/>
  <c r="U97" i="14" s="1"/>
  <c r="V97" i="14" s="1"/>
  <c r="M49" i="14"/>
  <c r="M149" i="14"/>
  <c r="N121" i="14"/>
  <c r="O122" i="14"/>
  <c r="C20" i="13"/>
  <c r="L39" i="12"/>
  <c r="K26" i="12"/>
  <c r="K38" i="12" s="1"/>
  <c r="D22" i="11"/>
  <c r="J26" i="12"/>
  <c r="J37" i="12" s="1"/>
  <c r="I26" i="12"/>
  <c r="I36" i="12" s="1"/>
  <c r="H26" i="12"/>
  <c r="H39" i="12"/>
  <c r="L37" i="12"/>
  <c r="L36" i="12"/>
  <c r="B22" i="11"/>
  <c r="C22" i="11"/>
  <c r="F22" i="11"/>
  <c r="E22" i="11"/>
  <c r="L24" i="11"/>
  <c r="H93" i="10"/>
  <c r="I46" i="10"/>
  <c r="J46" i="10" s="1"/>
  <c r="H67" i="10"/>
  <c r="F67" i="10"/>
  <c r="E67" i="10"/>
  <c r="G67" i="10"/>
  <c r="H29" i="10"/>
  <c r="H45" i="10"/>
  <c r="D67" i="10"/>
  <c r="E35" i="10"/>
  <c r="D35" i="10"/>
  <c r="L67" i="8"/>
  <c r="G35" i="10"/>
  <c r="J157" i="8"/>
  <c r="K65" i="5"/>
  <c r="F27" i="13" s="1"/>
  <c r="F29" i="13" s="1"/>
  <c r="L131" i="8"/>
  <c r="K131" i="8"/>
  <c r="F35" i="10"/>
  <c r="H64" i="8"/>
  <c r="J65" i="5"/>
  <c r="E27" i="13" s="1"/>
  <c r="E29" i="13" s="1"/>
  <c r="H132" i="8"/>
  <c r="D74" i="10" s="1"/>
  <c r="J73" i="8"/>
  <c r="K157" i="8"/>
  <c r="J131" i="8"/>
  <c r="M157" i="8"/>
  <c r="G49" i="10"/>
  <c r="G50" i="10" s="1"/>
  <c r="G52" i="10" s="1"/>
  <c r="D49" i="10"/>
  <c r="D50" i="10" s="1"/>
  <c r="D52" i="10" s="1"/>
  <c r="I131" i="8"/>
  <c r="K73" i="8"/>
  <c r="L62" i="10"/>
  <c r="D57" i="10"/>
  <c r="D73" i="10"/>
  <c r="H101" i="8"/>
  <c r="E50" i="10"/>
  <c r="E52" i="10" s="1"/>
  <c r="F50" i="10"/>
  <c r="F52" i="10" s="1"/>
  <c r="H50" i="10"/>
  <c r="H52" i="10" s="1"/>
  <c r="M122" i="8"/>
  <c r="N122" i="8" s="1"/>
  <c r="N149" i="8" s="1"/>
  <c r="J116" i="8"/>
  <c r="H116" i="8"/>
  <c r="I68" i="8"/>
  <c r="I65" i="5"/>
  <c r="D27" i="13" s="1"/>
  <c r="D29" i="13" s="1"/>
  <c r="L68" i="8"/>
  <c r="L65" i="5"/>
  <c r="G27" i="13" s="1"/>
  <c r="G29" i="13" s="1"/>
  <c r="H68" i="8"/>
  <c r="H69" i="8" s="1"/>
  <c r="H65" i="5"/>
  <c r="C27" i="13" s="1"/>
  <c r="C29" i="13" s="1"/>
  <c r="D45" i="10"/>
  <c r="I107" i="8"/>
  <c r="I102" i="8" s="1"/>
  <c r="J99" i="8" s="1"/>
  <c r="J107" i="8"/>
  <c r="J102" i="8" s="1"/>
  <c r="K99" i="8" s="1"/>
  <c r="K107" i="8"/>
  <c r="K102" i="8" s="1"/>
  <c r="L99" i="8" s="1"/>
  <c r="L107" i="8"/>
  <c r="L102" i="8" s="1"/>
  <c r="M99" i="8" s="1"/>
  <c r="H107" i="8"/>
  <c r="H102" i="8" s="1"/>
  <c r="F28" i="4"/>
  <c r="F30" i="4" s="1"/>
  <c r="G28" i="4"/>
  <c r="G30" i="4" s="1"/>
  <c r="G36" i="4" s="1"/>
  <c r="C28" i="4"/>
  <c r="C30" i="4" s="1"/>
  <c r="G45" i="10"/>
  <c r="I126" i="8"/>
  <c r="D22" i="13" s="1"/>
  <c r="J120" i="8"/>
  <c r="J121" i="8" s="1"/>
  <c r="K120" i="8"/>
  <c r="K121" i="8" s="1"/>
  <c r="J126" i="8"/>
  <c r="E22" i="13" s="1"/>
  <c r="L120" i="8"/>
  <c r="L121" i="8" s="1"/>
  <c r="K126" i="8"/>
  <c r="F22" i="13" s="1"/>
  <c r="I120" i="8"/>
  <c r="I121" i="8" s="1"/>
  <c r="H121" i="8"/>
  <c r="H126" i="8"/>
  <c r="C22" i="13" s="1"/>
  <c r="L113" i="8"/>
  <c r="K116" i="8"/>
  <c r="M113" i="8"/>
  <c r="M117" i="8" s="1"/>
  <c r="D28" i="4"/>
  <c r="D30" i="4" s="1"/>
  <c r="E10" i="10"/>
  <c r="E28" i="4"/>
  <c r="E30" i="4" s="1"/>
  <c r="F10" i="10"/>
  <c r="L126" i="8"/>
  <c r="M120" i="8"/>
  <c r="E45" i="10"/>
  <c r="F45" i="10"/>
  <c r="E20" i="10"/>
  <c r="F20" i="10"/>
  <c r="G20" i="10"/>
  <c r="G21" i="10" s="1"/>
  <c r="F13" i="13" s="1"/>
  <c r="H20" i="10"/>
  <c r="H21" i="10" s="1"/>
  <c r="G13" i="13" s="1"/>
  <c r="C36" i="4"/>
  <c r="I37" i="5"/>
  <c r="J37" i="5"/>
  <c r="K37" i="5"/>
  <c r="L37" i="5"/>
  <c r="H37" i="5"/>
  <c r="K55" i="5"/>
  <c r="I55" i="5"/>
  <c r="N55" i="5" s="1"/>
  <c r="O55" i="5" s="1"/>
  <c r="P55" i="5" s="1"/>
  <c r="Q55" i="5" s="1"/>
  <c r="J55" i="5"/>
  <c r="L55" i="5"/>
  <c r="H55" i="5"/>
  <c r="M55" i="5" s="1"/>
  <c r="I51" i="5"/>
  <c r="J51" i="5"/>
  <c r="K51" i="5"/>
  <c r="L51" i="5"/>
  <c r="H51" i="5"/>
  <c r="J47" i="5"/>
  <c r="K47" i="5"/>
  <c r="L47" i="5"/>
  <c r="I44" i="5"/>
  <c r="J44" i="5"/>
  <c r="K44" i="5"/>
  <c r="L44" i="5"/>
  <c r="H44" i="5"/>
  <c r="M44" i="5" s="1"/>
  <c r="N44" i="5" s="1"/>
  <c r="O44" i="5" s="1"/>
  <c r="P44" i="5" s="1"/>
  <c r="Q44" i="5" s="1"/>
  <c r="R44" i="5" s="1"/>
  <c r="S44" i="5" s="1"/>
  <c r="T44" i="5" s="1"/>
  <c r="U44" i="5" s="1"/>
  <c r="V44" i="5" s="1"/>
  <c r="I28" i="5"/>
  <c r="J28" i="5"/>
  <c r="K28" i="5"/>
  <c r="L28" i="5"/>
  <c r="H28" i="5"/>
  <c r="I22" i="5"/>
  <c r="J22" i="5"/>
  <c r="K22" i="5"/>
  <c r="L22" i="5"/>
  <c r="H22" i="5"/>
  <c r="M22" i="5" s="1"/>
  <c r="N22" i="5" s="1"/>
  <c r="O22" i="5" s="1"/>
  <c r="P22" i="5" s="1"/>
  <c r="Q22" i="5" s="1"/>
  <c r="R22" i="5" s="1"/>
  <c r="S22" i="5" s="1"/>
  <c r="T22" i="5" s="1"/>
  <c r="U22" i="5" s="1"/>
  <c r="V22" i="5" s="1"/>
  <c r="I34" i="5"/>
  <c r="I39" i="5"/>
  <c r="J34" i="5"/>
  <c r="J39" i="5"/>
  <c r="K34" i="5"/>
  <c r="K39" i="5"/>
  <c r="L34" i="5"/>
  <c r="L39" i="5"/>
  <c r="H34" i="5"/>
  <c r="M34" i="5" s="1"/>
  <c r="N34" i="5" s="1"/>
  <c r="O34" i="5" s="1"/>
  <c r="P34" i="5" s="1"/>
  <c r="Q34" i="5" s="1"/>
  <c r="R34" i="5" s="1"/>
  <c r="S34" i="5" s="1"/>
  <c r="T34" i="5" s="1"/>
  <c r="U34" i="5" s="1"/>
  <c r="V34" i="5" s="1"/>
  <c r="H39" i="5"/>
  <c r="I31" i="5"/>
  <c r="I69" i="5"/>
  <c r="J31" i="5"/>
  <c r="J69" i="5"/>
  <c r="K31" i="5"/>
  <c r="K69" i="5"/>
  <c r="L31" i="5"/>
  <c r="L69" i="5"/>
  <c r="H31" i="5"/>
  <c r="H69" i="5"/>
  <c r="H65" i="8"/>
  <c r="H33" i="8"/>
  <c r="D36" i="4"/>
  <c r="E36" i="4"/>
  <c r="F36" i="4"/>
  <c r="H78" i="5"/>
  <c r="I77" i="5"/>
  <c r="I59" i="5"/>
  <c r="J59" i="5"/>
  <c r="J78" i="5" s="1"/>
  <c r="J77" i="5"/>
  <c r="K59" i="5"/>
  <c r="K78" i="5" s="1"/>
  <c r="K77" i="5"/>
  <c r="L77" i="5"/>
  <c r="L59" i="5"/>
  <c r="L78" i="5" s="1"/>
  <c r="I113" i="8"/>
  <c r="I116" i="8" s="1"/>
  <c r="I19" i="5"/>
  <c r="K86" i="8"/>
  <c r="L73" i="8"/>
  <c r="I96" i="8"/>
  <c r="I101" i="8"/>
  <c r="J101" i="8"/>
  <c r="J96" i="8"/>
  <c r="K96" i="8"/>
  <c r="K101" i="8"/>
  <c r="L101" i="8"/>
  <c r="L96" i="8"/>
  <c r="H96" i="8"/>
  <c r="I65" i="8"/>
  <c r="I33" i="8"/>
  <c r="I64" i="8"/>
  <c r="I63" i="8"/>
  <c r="I87" i="8"/>
  <c r="J79" i="8"/>
  <c r="K79" i="8"/>
  <c r="J87" i="8"/>
  <c r="L79" i="8"/>
  <c r="K87" i="8"/>
  <c r="M79" i="8"/>
  <c r="L87" i="8"/>
  <c r="I79" i="8"/>
  <c r="H87" i="8"/>
  <c r="M73" i="8"/>
  <c r="L86" i="8"/>
  <c r="H86" i="8"/>
  <c r="I73" i="8"/>
  <c r="J67" i="8"/>
  <c r="I85" i="8"/>
  <c r="J85" i="8"/>
  <c r="K67" i="8"/>
  <c r="L85" i="8"/>
  <c r="M67" i="8"/>
  <c r="I67" i="8"/>
  <c r="H85" i="8"/>
  <c r="J65" i="8"/>
  <c r="J33" i="8"/>
  <c r="K65" i="8"/>
  <c r="K33" i="8"/>
  <c r="L65" i="8"/>
  <c r="L33" i="8"/>
  <c r="J18" i="8"/>
  <c r="E8" i="13" s="1"/>
  <c r="J68" i="8"/>
  <c r="K18" i="8"/>
  <c r="F8" i="13" s="1"/>
  <c r="K68" i="8"/>
  <c r="J63" i="8"/>
  <c r="J64" i="8"/>
  <c r="K63" i="8"/>
  <c r="K64" i="8"/>
  <c r="L63" i="8"/>
  <c r="L64" i="8"/>
  <c r="H63" i="8"/>
  <c r="J30" i="8"/>
  <c r="K30" i="8"/>
  <c r="H30" i="8"/>
  <c r="I30" i="8"/>
  <c r="L30" i="8"/>
  <c r="M30" i="8" s="1"/>
  <c r="N30" i="8" s="1"/>
  <c r="O30" i="8" s="1"/>
  <c r="P30" i="8" s="1"/>
  <c r="Q30" i="8" s="1"/>
  <c r="R30" i="8" s="1"/>
  <c r="S30" i="8" s="1"/>
  <c r="T30" i="8" s="1"/>
  <c r="U30" i="8" s="1"/>
  <c r="V30" i="8" s="1"/>
  <c r="I46" i="8"/>
  <c r="K46" i="8"/>
  <c r="L46" i="8"/>
  <c r="H46" i="8"/>
  <c r="I50" i="8"/>
  <c r="L50" i="8"/>
  <c r="J50" i="8"/>
  <c r="J46" i="8"/>
  <c r="K50" i="8"/>
  <c r="H50" i="8"/>
  <c r="I49" i="8"/>
  <c r="I97" i="8" s="1"/>
  <c r="J49" i="8"/>
  <c r="J97" i="8" s="1"/>
  <c r="K49" i="8"/>
  <c r="K97" i="8" s="1"/>
  <c r="L49" i="8"/>
  <c r="L97" i="8" s="1"/>
  <c r="H49" i="8"/>
  <c r="H97" i="8" s="1"/>
  <c r="I43" i="8"/>
  <c r="J43" i="8"/>
  <c r="K43" i="8"/>
  <c r="L43" i="8"/>
  <c r="H43" i="8"/>
  <c r="J39" i="8"/>
  <c r="K39" i="8"/>
  <c r="L39" i="8"/>
  <c r="I37" i="8"/>
  <c r="J37" i="8"/>
  <c r="K37" i="8"/>
  <c r="L37" i="8"/>
  <c r="H37" i="8"/>
  <c r="I32" i="8"/>
  <c r="J32" i="8"/>
  <c r="K32" i="8"/>
  <c r="L32" i="8"/>
  <c r="H32" i="8"/>
  <c r="I28" i="8"/>
  <c r="J28" i="8"/>
  <c r="K28" i="8"/>
  <c r="L28" i="8"/>
  <c r="I21" i="8"/>
  <c r="J21" i="8"/>
  <c r="K21" i="8"/>
  <c r="L21" i="8"/>
  <c r="G27" i="12" s="1"/>
  <c r="G52" i="12" s="1"/>
  <c r="H21" i="8"/>
  <c r="K26" i="8"/>
  <c r="I26" i="8"/>
  <c r="I20" i="8"/>
  <c r="K20" i="8"/>
  <c r="L20" i="8"/>
  <c r="I18" i="8"/>
  <c r="D8" i="13" s="1"/>
  <c r="J26" i="8"/>
  <c r="H28" i="8"/>
  <c r="H26" i="8"/>
  <c r="J20" i="8"/>
  <c r="H20" i="8"/>
  <c r="L26" i="8"/>
  <c r="M17" i="8"/>
  <c r="I8" i="10" s="1"/>
  <c r="L18" i="8"/>
  <c r="G8" i="13" s="1"/>
  <c r="M31" i="14" l="1"/>
  <c r="L89" i="14"/>
  <c r="L133" i="14" s="1"/>
  <c r="L132" i="14" s="1"/>
  <c r="M36" i="14"/>
  <c r="M25" i="14"/>
  <c r="M33" i="14" s="1"/>
  <c r="M64" i="14"/>
  <c r="N64" i="14" s="1"/>
  <c r="O64" i="14" s="1"/>
  <c r="M63" i="14"/>
  <c r="N63" i="14" s="1"/>
  <c r="O63" i="14" s="1"/>
  <c r="P63" i="14" s="1"/>
  <c r="Q63" i="14" s="1"/>
  <c r="R63" i="14" s="1"/>
  <c r="S63" i="14" s="1"/>
  <c r="T63" i="14" s="1"/>
  <c r="U63" i="14" s="1"/>
  <c r="V63" i="14" s="1"/>
  <c r="G23" i="12"/>
  <c r="G22" i="13"/>
  <c r="L151" i="8"/>
  <c r="L151" i="14"/>
  <c r="K36" i="12"/>
  <c r="K37" i="12"/>
  <c r="N124" i="14"/>
  <c r="M48" i="14"/>
  <c r="N49" i="14"/>
  <c r="P64" i="14"/>
  <c r="O149" i="14"/>
  <c r="O121" i="14"/>
  <c r="P121" i="14" s="1"/>
  <c r="M96" i="14"/>
  <c r="M101" i="14" s="1"/>
  <c r="M94" i="14"/>
  <c r="M93" i="14" s="1"/>
  <c r="N31" i="14"/>
  <c r="N29" i="14"/>
  <c r="N27" i="14"/>
  <c r="N25" i="14"/>
  <c r="O17" i="14"/>
  <c r="N68" i="14"/>
  <c r="N70" i="14" s="1"/>
  <c r="N38" i="14"/>
  <c r="N36" i="14"/>
  <c r="N96" i="14"/>
  <c r="N101" i="14" s="1"/>
  <c r="N42" i="14"/>
  <c r="N19" i="14"/>
  <c r="N21" i="14" s="1"/>
  <c r="N46" i="14"/>
  <c r="M45" i="14"/>
  <c r="P122" i="14"/>
  <c r="F18" i="13"/>
  <c r="F19" i="13"/>
  <c r="C18" i="13"/>
  <c r="C19" i="13"/>
  <c r="D18" i="13"/>
  <c r="D19" i="13"/>
  <c r="E18" i="13"/>
  <c r="E19" i="13"/>
  <c r="G24" i="12"/>
  <c r="G20" i="13"/>
  <c r="J38" i="12"/>
  <c r="I38" i="12"/>
  <c r="J36" i="12"/>
  <c r="I37" i="12"/>
  <c r="L69" i="8"/>
  <c r="J44" i="12"/>
  <c r="J47" i="12"/>
  <c r="J46" i="12"/>
  <c r="J45" i="12"/>
  <c r="H55" i="12" s="1"/>
  <c r="H38" i="12"/>
  <c r="H37" i="12"/>
  <c r="H36" i="12"/>
  <c r="H35" i="10"/>
  <c r="J32" i="11"/>
  <c r="L116" i="8"/>
  <c r="C34" i="11"/>
  <c r="C36" i="11" s="1"/>
  <c r="M121" i="8"/>
  <c r="N121" i="8" s="1"/>
  <c r="J34" i="11"/>
  <c r="C39" i="11"/>
  <c r="M24" i="11"/>
  <c r="K46" i="10"/>
  <c r="L46" i="10"/>
  <c r="M46" i="10" s="1"/>
  <c r="N46" i="10" s="1"/>
  <c r="O46" i="10" s="1"/>
  <c r="F21" i="10"/>
  <c r="E13" i="13" s="1"/>
  <c r="G23" i="10"/>
  <c r="F23" i="10"/>
  <c r="H23" i="10"/>
  <c r="E21" i="10"/>
  <c r="D13" i="13" s="1"/>
  <c r="M65" i="5"/>
  <c r="I91" i="10"/>
  <c r="M149" i="8"/>
  <c r="I34" i="10"/>
  <c r="I61" i="10"/>
  <c r="N113" i="8"/>
  <c r="N117" i="8" s="1"/>
  <c r="I58" i="10"/>
  <c r="I57" i="10"/>
  <c r="M62" i="10"/>
  <c r="N62" i="10" s="1"/>
  <c r="I99" i="8"/>
  <c r="I100" i="8" s="1"/>
  <c r="I93" i="8" s="1"/>
  <c r="H100" i="8"/>
  <c r="O122" i="8"/>
  <c r="P122" i="8" s="1"/>
  <c r="J91" i="10"/>
  <c r="M32" i="8"/>
  <c r="M37" i="5" s="1"/>
  <c r="I69" i="8"/>
  <c r="J100" i="8"/>
  <c r="J93" i="8" s="1"/>
  <c r="K100" i="8"/>
  <c r="K93" i="8" s="1"/>
  <c r="L100" i="8"/>
  <c r="L93" i="8" s="1"/>
  <c r="K88" i="8"/>
  <c r="M31" i="5"/>
  <c r="N31" i="5" s="1"/>
  <c r="O31" i="5" s="1"/>
  <c r="P31" i="5" s="1"/>
  <c r="Q31" i="5" s="1"/>
  <c r="R31" i="5" s="1"/>
  <c r="S31" i="5" s="1"/>
  <c r="T31" i="5" s="1"/>
  <c r="U31" i="5" s="1"/>
  <c r="V31" i="5" s="1"/>
  <c r="M47" i="5"/>
  <c r="N47" i="5" s="1"/>
  <c r="O47" i="5" s="1"/>
  <c r="P47" i="5" s="1"/>
  <c r="Q47" i="5" s="1"/>
  <c r="R47" i="5" s="1"/>
  <c r="S47" i="5" s="1"/>
  <c r="T47" i="5" s="1"/>
  <c r="U47" i="5" s="1"/>
  <c r="V47" i="5" s="1"/>
  <c r="M69" i="5"/>
  <c r="N69" i="5" s="1"/>
  <c r="O69" i="5" s="1"/>
  <c r="P69" i="5" s="1"/>
  <c r="Q69" i="5" s="1"/>
  <c r="R69" i="5" s="1"/>
  <c r="S69" i="5" s="1"/>
  <c r="T69" i="5" s="1"/>
  <c r="U69" i="5" s="1"/>
  <c r="V69" i="5" s="1"/>
  <c r="I67" i="5"/>
  <c r="I40" i="5"/>
  <c r="J67" i="5"/>
  <c r="J40" i="5"/>
  <c r="K67" i="5"/>
  <c r="K40" i="5"/>
  <c r="L67" i="5"/>
  <c r="L40" i="5"/>
  <c r="H67" i="5"/>
  <c r="M67" i="5" s="1"/>
  <c r="N67" i="5" s="1"/>
  <c r="O67" i="5" s="1"/>
  <c r="P67" i="5" s="1"/>
  <c r="Q67" i="5" s="1"/>
  <c r="R67" i="5" s="1"/>
  <c r="S67" i="5" s="1"/>
  <c r="T67" i="5" s="1"/>
  <c r="U67" i="5" s="1"/>
  <c r="V67" i="5" s="1"/>
  <c r="H40" i="5"/>
  <c r="M43" i="8"/>
  <c r="M51" i="5" s="1"/>
  <c r="I78" i="5"/>
  <c r="M59" i="5"/>
  <c r="R55" i="5"/>
  <c r="M37" i="8"/>
  <c r="M63" i="8"/>
  <c r="N63" i="8" s="1"/>
  <c r="O63" i="8" s="1"/>
  <c r="P63" i="8" s="1"/>
  <c r="Q63" i="8" s="1"/>
  <c r="R63" i="8" s="1"/>
  <c r="S63" i="8" s="1"/>
  <c r="T63" i="8" s="1"/>
  <c r="U63" i="8" s="1"/>
  <c r="V63" i="8" s="1"/>
  <c r="I88" i="8"/>
  <c r="L88" i="8"/>
  <c r="H88" i="8"/>
  <c r="I80" i="8"/>
  <c r="I81" i="8" s="1"/>
  <c r="I75" i="8"/>
  <c r="I74" i="8" s="1"/>
  <c r="J88" i="8"/>
  <c r="M68" i="8"/>
  <c r="M97" i="8"/>
  <c r="M64" i="8"/>
  <c r="N64" i="8" s="1"/>
  <c r="K69" i="8"/>
  <c r="J80" i="8"/>
  <c r="J81" i="8" s="1"/>
  <c r="J75" i="8"/>
  <c r="J74" i="8" s="1"/>
  <c r="K75" i="8"/>
  <c r="K74" i="8" s="1"/>
  <c r="K80" i="8"/>
  <c r="K81" i="8" s="1"/>
  <c r="L80" i="8"/>
  <c r="L81" i="8" s="1"/>
  <c r="L75" i="8"/>
  <c r="L74" i="8" s="1"/>
  <c r="H75" i="8"/>
  <c r="H74" i="8" s="1"/>
  <c r="H80" i="8"/>
  <c r="H81" i="8" s="1"/>
  <c r="M65" i="8"/>
  <c r="N65" i="8" s="1"/>
  <c r="O65" i="8" s="1"/>
  <c r="J69" i="8"/>
  <c r="M28" i="8"/>
  <c r="P28" i="8" s="1"/>
  <c r="M46" i="8"/>
  <c r="M49" i="8"/>
  <c r="M26" i="8"/>
  <c r="M39" i="8"/>
  <c r="M29" i="8"/>
  <c r="I13" i="10" s="1"/>
  <c r="M20" i="8"/>
  <c r="N17" i="8"/>
  <c r="J8" i="10" s="1"/>
  <c r="G25" i="12" l="1"/>
  <c r="G26" i="12" s="1"/>
  <c r="Q121" i="14"/>
  <c r="M70" i="14"/>
  <c r="M69" i="14" s="1"/>
  <c r="N65" i="5"/>
  <c r="H27" i="13"/>
  <c r="H29" i="13" s="1"/>
  <c r="I44" i="12"/>
  <c r="P149" i="14"/>
  <c r="Q122" i="14"/>
  <c r="N85" i="14"/>
  <c r="O67" i="14"/>
  <c r="M131" i="14"/>
  <c r="M50" i="14"/>
  <c r="Q64" i="14"/>
  <c r="M85" i="14"/>
  <c r="N67" i="14"/>
  <c r="N69" i="14" s="1"/>
  <c r="O68" i="14"/>
  <c r="O70" i="14" s="1"/>
  <c r="P17" i="14"/>
  <c r="O36" i="14"/>
  <c r="O38" i="14"/>
  <c r="O96" i="14"/>
  <c r="O101" i="14" s="1"/>
  <c r="O42" i="14"/>
  <c r="O31" i="14"/>
  <c r="O27" i="14"/>
  <c r="O25" i="14"/>
  <c r="O19" i="14"/>
  <c r="O21" i="14" s="1"/>
  <c r="O29" i="14"/>
  <c r="R121" i="14"/>
  <c r="N126" i="14"/>
  <c r="O120" i="14"/>
  <c r="O124" i="14" s="1"/>
  <c r="N94" i="14"/>
  <c r="N93" i="14" s="1"/>
  <c r="O49" i="14"/>
  <c r="N48" i="14"/>
  <c r="O46" i="14"/>
  <c r="N45" i="14"/>
  <c r="N33" i="14"/>
  <c r="M75" i="14"/>
  <c r="M82" i="14"/>
  <c r="M80" i="14"/>
  <c r="M81" i="14" s="1"/>
  <c r="M76" i="14"/>
  <c r="G18" i="13"/>
  <c r="G19" i="13"/>
  <c r="G36" i="12"/>
  <c r="F25" i="10"/>
  <c r="F26" i="10"/>
  <c r="G25" i="10"/>
  <c r="G26" i="10"/>
  <c r="H25" i="10"/>
  <c r="H26" i="10"/>
  <c r="H47" i="12"/>
  <c r="G47" i="12"/>
  <c r="H45" i="12"/>
  <c r="H53" i="12" s="1"/>
  <c r="H44" i="12"/>
  <c r="N26" i="8"/>
  <c r="M28" i="5"/>
  <c r="I46" i="12"/>
  <c r="I45" i="12"/>
  <c r="H54" i="12" s="1"/>
  <c r="G44" i="12"/>
  <c r="G46" i="12"/>
  <c r="G45" i="12"/>
  <c r="H52" i="12" s="1"/>
  <c r="I52" i="12" s="1"/>
  <c r="J52" i="12" s="1"/>
  <c r="K52" i="12" s="1"/>
  <c r="G62" i="12" s="1"/>
  <c r="K30" i="1" s="1"/>
  <c r="H46" i="12"/>
  <c r="I47" i="12"/>
  <c r="C40" i="11"/>
  <c r="C42" i="11" s="1"/>
  <c r="N24" i="11"/>
  <c r="I145" i="8"/>
  <c r="C10" i="11"/>
  <c r="C20" i="11" s="1"/>
  <c r="J145" i="8"/>
  <c r="D10" i="11"/>
  <c r="D20" i="11" s="1"/>
  <c r="K145" i="8"/>
  <c r="E10" i="11"/>
  <c r="E20" i="11" s="1"/>
  <c r="L145" i="8"/>
  <c r="F10" i="11"/>
  <c r="E23" i="10"/>
  <c r="J34" i="10"/>
  <c r="J61" i="10"/>
  <c r="Q28" i="8"/>
  <c r="O28" i="8"/>
  <c r="R28" i="8"/>
  <c r="L91" i="10"/>
  <c r="P149" i="8"/>
  <c r="K91" i="10"/>
  <c r="O149" i="8"/>
  <c r="P46" i="10"/>
  <c r="O113" i="8"/>
  <c r="O117" i="8" s="1"/>
  <c r="J58" i="10"/>
  <c r="J57" i="10"/>
  <c r="O62" i="10"/>
  <c r="H93" i="8"/>
  <c r="F83" i="10"/>
  <c r="G83" i="10"/>
  <c r="H83" i="10"/>
  <c r="N43" i="8"/>
  <c r="M42" i="8"/>
  <c r="I19" i="10" s="1"/>
  <c r="E83" i="10"/>
  <c r="N32" i="8"/>
  <c r="M31" i="8"/>
  <c r="I14" i="10" s="1"/>
  <c r="L89" i="8"/>
  <c r="F11" i="11" s="1"/>
  <c r="F21" i="11" s="1"/>
  <c r="J74" i="5"/>
  <c r="J75" i="5" s="1"/>
  <c r="J94" i="8"/>
  <c r="K94" i="8"/>
  <c r="K74" i="5"/>
  <c r="K75" i="5" s="1"/>
  <c r="L74" i="5"/>
  <c r="L75" i="5" s="1"/>
  <c r="L94" i="8"/>
  <c r="S28" i="8"/>
  <c r="T28" i="8"/>
  <c r="U28" i="8"/>
  <c r="Q122" i="8"/>
  <c r="Q149" i="8" s="1"/>
  <c r="O121" i="8"/>
  <c r="P121" i="8" s="1"/>
  <c r="M124" i="8"/>
  <c r="I59" i="10" s="1"/>
  <c r="M78" i="5"/>
  <c r="N59" i="5"/>
  <c r="I94" i="8"/>
  <c r="I74" i="5"/>
  <c r="I75" i="5" s="1"/>
  <c r="S55" i="5"/>
  <c r="T55" i="5"/>
  <c r="M70" i="8"/>
  <c r="I31" i="10" s="1"/>
  <c r="N37" i="8"/>
  <c r="M36" i="8"/>
  <c r="I15" i="10" s="1"/>
  <c r="J89" i="8"/>
  <c r="D11" i="11" s="1"/>
  <c r="D21" i="11" s="1"/>
  <c r="K89" i="8"/>
  <c r="E11" i="11" s="1"/>
  <c r="E21" i="11" s="1"/>
  <c r="I89" i="8"/>
  <c r="C11" i="11" s="1"/>
  <c r="C21" i="11" s="1"/>
  <c r="N97" i="8"/>
  <c r="M96" i="8"/>
  <c r="M101" i="8" s="1"/>
  <c r="N68" i="8"/>
  <c r="N70" i="8" s="1"/>
  <c r="J31" i="10" s="1"/>
  <c r="N28" i="8"/>
  <c r="N27" i="8" s="1"/>
  <c r="J12" i="10" s="1"/>
  <c r="V28" i="8"/>
  <c r="M27" i="8"/>
  <c r="I12" i="10" s="1"/>
  <c r="O64" i="8"/>
  <c r="P65" i="8"/>
  <c r="N46" i="8"/>
  <c r="M45" i="8"/>
  <c r="M25" i="8"/>
  <c r="I11" i="10" s="1"/>
  <c r="N39" i="8"/>
  <c r="M38" i="8"/>
  <c r="I16" i="10" s="1"/>
  <c r="N49" i="8"/>
  <c r="M48" i="8"/>
  <c r="M131" i="8" s="1"/>
  <c r="N25" i="8"/>
  <c r="J11" i="10" s="1"/>
  <c r="N29" i="8"/>
  <c r="J13" i="10" s="1"/>
  <c r="V20" i="8"/>
  <c r="U20" i="8"/>
  <c r="T20" i="8"/>
  <c r="S20" i="8"/>
  <c r="R20" i="8"/>
  <c r="Q20" i="8"/>
  <c r="P20" i="8"/>
  <c r="O20" i="8"/>
  <c r="M19" i="8"/>
  <c r="N20" i="8"/>
  <c r="N19" i="8" s="1"/>
  <c r="O17" i="8"/>
  <c r="K8" i="10" s="1"/>
  <c r="O65" i="5" l="1"/>
  <c r="I27" i="13"/>
  <c r="I29" i="13" s="1"/>
  <c r="P96" i="14"/>
  <c r="P101" i="14" s="1"/>
  <c r="P68" i="14"/>
  <c r="P70" i="14" s="1"/>
  <c r="Q17" i="14"/>
  <c r="P19" i="14"/>
  <c r="P21" i="14" s="1"/>
  <c r="P38" i="14"/>
  <c r="P36" i="14"/>
  <c r="P42" i="14"/>
  <c r="P27" i="14"/>
  <c r="P25" i="14"/>
  <c r="P29" i="14"/>
  <c r="P31" i="14"/>
  <c r="O69" i="14"/>
  <c r="P46" i="14"/>
  <c r="O45" i="14"/>
  <c r="P49" i="14"/>
  <c r="O48" i="14"/>
  <c r="O33" i="14"/>
  <c r="Q149" i="14"/>
  <c r="R122" i="14"/>
  <c r="R149" i="14" s="1"/>
  <c r="R64" i="14"/>
  <c r="O94" i="14"/>
  <c r="O93" i="14" s="1"/>
  <c r="S121" i="14"/>
  <c r="N82" i="14"/>
  <c r="N80" i="14"/>
  <c r="N75" i="14"/>
  <c r="N76" i="14"/>
  <c r="O85" i="14"/>
  <c r="P67" i="14"/>
  <c r="N131" i="14"/>
  <c r="N50" i="14"/>
  <c r="M86" i="14"/>
  <c r="M74" i="14"/>
  <c r="N73" i="14"/>
  <c r="N79" i="14"/>
  <c r="M87" i="14"/>
  <c r="P120" i="14"/>
  <c r="P124" i="14" s="1"/>
  <c r="O126" i="14"/>
  <c r="L158" i="8"/>
  <c r="L160" i="8" s="1"/>
  <c r="L52" i="8"/>
  <c r="F18" i="11"/>
  <c r="L54" i="8"/>
  <c r="F6" i="11"/>
  <c r="K54" i="8"/>
  <c r="E6" i="11"/>
  <c r="K158" i="8"/>
  <c r="K160" i="8" s="1"/>
  <c r="E18" i="11"/>
  <c r="E23" i="11" s="1"/>
  <c r="E26" i="11" s="1"/>
  <c r="K52" i="8"/>
  <c r="J158" i="8"/>
  <c r="J160" i="8" s="1"/>
  <c r="D18" i="11"/>
  <c r="J52" i="8"/>
  <c r="E25" i="10"/>
  <c r="E26" i="10"/>
  <c r="J54" i="8"/>
  <c r="D6" i="11"/>
  <c r="O43" i="8"/>
  <c r="N51" i="5"/>
  <c r="O32" i="8"/>
  <c r="N37" i="5"/>
  <c r="C43" i="11"/>
  <c r="O26" i="8"/>
  <c r="O25" i="8" s="1"/>
  <c r="K11" i="10" s="1"/>
  <c r="N28" i="5"/>
  <c r="N31" i="8"/>
  <c r="J14" i="10" s="1"/>
  <c r="D23" i="11"/>
  <c r="D26" i="11" s="1"/>
  <c r="F20" i="11"/>
  <c r="F23" i="11" s="1"/>
  <c r="F26" i="11" s="1"/>
  <c r="O24" i="11"/>
  <c r="H145" i="8"/>
  <c r="B10" i="11"/>
  <c r="Q46" i="10"/>
  <c r="R46" i="10" s="1"/>
  <c r="D83" i="10"/>
  <c r="L133" i="8"/>
  <c r="L132" i="8" s="1"/>
  <c r="H74" i="10" s="1"/>
  <c r="H75" i="10"/>
  <c r="H74" i="5"/>
  <c r="H75" i="5" s="1"/>
  <c r="M75" i="5" s="1"/>
  <c r="N75" i="5" s="1"/>
  <c r="O75" i="5" s="1"/>
  <c r="P75" i="5" s="1"/>
  <c r="Q75" i="5" s="1"/>
  <c r="R75" i="5" s="1"/>
  <c r="S75" i="5" s="1"/>
  <c r="T75" i="5" s="1"/>
  <c r="U75" i="5" s="1"/>
  <c r="V75" i="5" s="1"/>
  <c r="I133" i="8"/>
  <c r="I132" i="8" s="1"/>
  <c r="E74" i="10" s="1"/>
  <c r="E75" i="10"/>
  <c r="K34" i="10"/>
  <c r="K61" i="10"/>
  <c r="H94" i="8"/>
  <c r="M94" i="8" s="1"/>
  <c r="M93" i="8" s="1"/>
  <c r="K133" i="8"/>
  <c r="K132" i="8" s="1"/>
  <c r="G74" i="10" s="1"/>
  <c r="G75" i="10"/>
  <c r="J133" i="8"/>
  <c r="J132" i="8" s="1"/>
  <c r="F74" i="10" s="1"/>
  <c r="F75" i="10"/>
  <c r="N42" i="8"/>
  <c r="J19" i="10" s="1"/>
  <c r="P113" i="8"/>
  <c r="P117" i="8" s="1"/>
  <c r="K58" i="10"/>
  <c r="K57" i="10"/>
  <c r="P62" i="10"/>
  <c r="R122" i="8"/>
  <c r="R149" i="8" s="1"/>
  <c r="M91" i="10"/>
  <c r="I17" i="10"/>
  <c r="I18" i="10"/>
  <c r="G9" i="11" s="1"/>
  <c r="G19" i="11" s="1"/>
  <c r="I73" i="10"/>
  <c r="M33" i="8"/>
  <c r="M21" i="8"/>
  <c r="I9" i="10"/>
  <c r="I10" i="10" s="1"/>
  <c r="N21" i="8"/>
  <c r="J9" i="10"/>
  <c r="J10" i="10" s="1"/>
  <c r="N120" i="8"/>
  <c r="N124" i="8" s="1"/>
  <c r="J59" i="10" s="1"/>
  <c r="M126" i="8"/>
  <c r="Q121" i="8"/>
  <c r="R121" i="8" s="1"/>
  <c r="O59" i="5"/>
  <c r="N78" i="5"/>
  <c r="O37" i="8"/>
  <c r="N36" i="8"/>
  <c r="J15" i="10" s="1"/>
  <c r="N45" i="8"/>
  <c r="O46" i="8"/>
  <c r="M69" i="8"/>
  <c r="N67" i="8"/>
  <c r="N69" i="8" s="1"/>
  <c r="M85" i="8"/>
  <c r="U55" i="5"/>
  <c r="V55" i="5" s="1"/>
  <c r="O49" i="8"/>
  <c r="N48" i="8"/>
  <c r="N131" i="8" s="1"/>
  <c r="M50" i="8"/>
  <c r="O97" i="8"/>
  <c r="N96" i="8"/>
  <c r="N101" i="8" s="1"/>
  <c r="O67" i="8"/>
  <c r="N85" i="8"/>
  <c r="O68" i="8"/>
  <c r="O70" i="8" s="1"/>
  <c r="K31" i="10" s="1"/>
  <c r="N33" i="8"/>
  <c r="N39" i="5" s="1"/>
  <c r="P64" i="8"/>
  <c r="Q65" i="8"/>
  <c r="O39" i="8"/>
  <c r="N38" i="8"/>
  <c r="J16" i="10" s="1"/>
  <c r="O31" i="8"/>
  <c r="K14" i="10" s="1"/>
  <c r="O29" i="8"/>
  <c r="K13" i="10" s="1"/>
  <c r="O27" i="8"/>
  <c r="K12" i="10" s="1"/>
  <c r="O42" i="8"/>
  <c r="K19" i="10" s="1"/>
  <c r="O19" i="8"/>
  <c r="P17" i="8"/>
  <c r="L8" i="10" s="1"/>
  <c r="M88" i="14" l="1"/>
  <c r="M89" i="14" s="1"/>
  <c r="M133" i="14" s="1"/>
  <c r="B49" i="11"/>
  <c r="N25" i="11" s="1"/>
  <c r="N7" i="1"/>
  <c r="N81" i="14"/>
  <c r="P65" i="5"/>
  <c r="J27" i="13"/>
  <c r="J29" i="13" s="1"/>
  <c r="Q49" i="14"/>
  <c r="P48" i="14"/>
  <c r="N74" i="14"/>
  <c r="O73" i="14"/>
  <c r="N86" i="14"/>
  <c r="N87" i="14"/>
  <c r="O79" i="14"/>
  <c r="Q46" i="14"/>
  <c r="P45" i="14"/>
  <c r="P94" i="14"/>
  <c r="P93" i="14" s="1"/>
  <c r="Q68" i="14"/>
  <c r="Q70" i="14" s="1"/>
  <c r="R17" i="14"/>
  <c r="Q38" i="14"/>
  <c r="Q36" i="14"/>
  <c r="Q19" i="14"/>
  <c r="Q21" i="14" s="1"/>
  <c r="Q96" i="14"/>
  <c r="Q101" i="14" s="1"/>
  <c r="Q42" i="14"/>
  <c r="Q29" i="14"/>
  <c r="Q27" i="14"/>
  <c r="Q25" i="14"/>
  <c r="Q33" i="14" s="1"/>
  <c r="Q31" i="14"/>
  <c r="S122" i="14"/>
  <c r="S149" i="14" s="1"/>
  <c r="P85" i="14"/>
  <c r="Q67" i="14"/>
  <c r="T121" i="14"/>
  <c r="S64" i="14"/>
  <c r="P33" i="14"/>
  <c r="O82" i="14"/>
  <c r="O80" i="14"/>
  <c r="O75" i="14"/>
  <c r="O76" i="14"/>
  <c r="U121" i="14"/>
  <c r="V121" i="14" s="1"/>
  <c r="P126" i="14"/>
  <c r="Q120" i="14"/>
  <c r="Q124" i="14" s="1"/>
  <c r="P69" i="14"/>
  <c r="O131" i="14"/>
  <c r="O50" i="14"/>
  <c r="F16" i="13"/>
  <c r="K53" i="8"/>
  <c r="F11" i="13" s="1"/>
  <c r="F31" i="13"/>
  <c r="F32" i="13"/>
  <c r="I54" i="8"/>
  <c r="J55" i="8" s="1"/>
  <c r="E10" i="13" s="1"/>
  <c r="C6" i="11"/>
  <c r="E33" i="13"/>
  <c r="E15" i="13"/>
  <c r="J56" i="8"/>
  <c r="E7" i="11"/>
  <c r="E8" i="11"/>
  <c r="E12" i="11" s="1"/>
  <c r="E15" i="11" s="1"/>
  <c r="F33" i="13"/>
  <c r="K56" i="8"/>
  <c r="K55" i="8"/>
  <c r="F10" i="13" s="1"/>
  <c r="F15" i="13"/>
  <c r="I158" i="8"/>
  <c r="I160" i="8" s="1"/>
  <c r="C18" i="11"/>
  <c r="C23" i="11" s="1"/>
  <c r="C26" i="11" s="1"/>
  <c r="I52" i="8"/>
  <c r="D7" i="11"/>
  <c r="D8" i="11" s="1"/>
  <c r="D12" i="11" s="1"/>
  <c r="D15" i="11" s="1"/>
  <c r="G29" i="12"/>
  <c r="L56" i="8"/>
  <c r="G33" i="13"/>
  <c r="G15" i="13"/>
  <c r="L55" i="8"/>
  <c r="G10" i="13" s="1"/>
  <c r="E31" i="13"/>
  <c r="E32" i="13"/>
  <c r="E16" i="13"/>
  <c r="L53" i="8"/>
  <c r="G11" i="13" s="1"/>
  <c r="G31" i="13"/>
  <c r="G16" i="13"/>
  <c r="G30" i="12"/>
  <c r="G32" i="13"/>
  <c r="F7" i="11"/>
  <c r="F8" i="11"/>
  <c r="F12" i="11" s="1"/>
  <c r="F15" i="11" s="1"/>
  <c r="P32" i="8"/>
  <c r="P31" i="8" s="1"/>
  <c r="L14" i="10" s="1"/>
  <c r="O37" i="5"/>
  <c r="P26" i="8"/>
  <c r="P25" i="8" s="1"/>
  <c r="L11" i="10" s="1"/>
  <c r="O28" i="5"/>
  <c r="O51" i="5"/>
  <c r="P43" i="8"/>
  <c r="P42" i="8" s="1"/>
  <c r="L19" i="10" s="1"/>
  <c r="J25" i="11"/>
  <c r="M14" i="11"/>
  <c r="I14" i="11"/>
  <c r="K14" i="11"/>
  <c r="N14" i="11"/>
  <c r="G25" i="11"/>
  <c r="I25" i="11"/>
  <c r="H25" i="11"/>
  <c r="F30" i="11"/>
  <c r="G14" i="11"/>
  <c r="J14" i="11"/>
  <c r="P14" i="11"/>
  <c r="L14" i="11"/>
  <c r="K25" i="11"/>
  <c r="O14" i="11"/>
  <c r="H14" i="11"/>
  <c r="L25" i="11"/>
  <c r="M25" i="11"/>
  <c r="B20" i="11"/>
  <c r="P24" i="11"/>
  <c r="P25" i="11" s="1"/>
  <c r="O25" i="11"/>
  <c r="M145" i="8"/>
  <c r="G10" i="11"/>
  <c r="G20" i="11" s="1"/>
  <c r="I20" i="10"/>
  <c r="I21" i="10" s="1"/>
  <c r="L34" i="10"/>
  <c r="L61" i="10"/>
  <c r="Q113" i="8"/>
  <c r="Q117" i="8" s="1"/>
  <c r="L58" i="10"/>
  <c r="L57" i="10"/>
  <c r="Q62" i="10"/>
  <c r="N91" i="10"/>
  <c r="S122" i="8"/>
  <c r="I83" i="10"/>
  <c r="M100" i="8"/>
  <c r="J17" i="10"/>
  <c r="J18" i="10"/>
  <c r="H9" i="11" s="1"/>
  <c r="H19" i="11" s="1"/>
  <c r="J73" i="10"/>
  <c r="N94" i="8"/>
  <c r="M39" i="5"/>
  <c r="M76" i="8"/>
  <c r="I32" i="10" s="1"/>
  <c r="M82" i="8"/>
  <c r="I60" i="10" s="1"/>
  <c r="I64" i="10" s="1"/>
  <c r="I65" i="10" s="1"/>
  <c r="M80" i="8"/>
  <c r="M75" i="8"/>
  <c r="P37" i="8"/>
  <c r="O36" i="8"/>
  <c r="K15" i="10" s="1"/>
  <c r="P97" i="8"/>
  <c r="O96" i="8"/>
  <c r="O101" i="8" s="1"/>
  <c r="O69" i="8"/>
  <c r="O21" i="8"/>
  <c r="K9" i="10"/>
  <c r="K10" i="10" s="1"/>
  <c r="N126" i="8"/>
  <c r="O120" i="8"/>
  <c r="O124" i="8" s="1"/>
  <c r="K59" i="10" s="1"/>
  <c r="S121" i="8"/>
  <c r="T121" i="8" s="1"/>
  <c r="U121" i="8" s="1"/>
  <c r="V121" i="8" s="1"/>
  <c r="N50" i="8"/>
  <c r="P59" i="5"/>
  <c r="O78" i="5"/>
  <c r="P46" i="8"/>
  <c r="Q46" i="8" s="1"/>
  <c r="R46" i="8" s="1"/>
  <c r="O45" i="8"/>
  <c r="O48" i="8"/>
  <c r="O131" i="8" s="1"/>
  <c r="P49" i="8"/>
  <c r="O33" i="8"/>
  <c r="N76" i="8"/>
  <c r="J32" i="10" s="1"/>
  <c r="N82" i="8"/>
  <c r="J60" i="10" s="1"/>
  <c r="J64" i="10" s="1"/>
  <c r="J65" i="10" s="1"/>
  <c r="N80" i="8"/>
  <c r="N75" i="8"/>
  <c r="P68" i="8"/>
  <c r="P70" i="8" s="1"/>
  <c r="L31" i="10" s="1"/>
  <c r="P39" i="8"/>
  <c r="O38" i="8"/>
  <c r="K16" i="10" s="1"/>
  <c r="Q64" i="8"/>
  <c r="O85" i="8"/>
  <c r="P67" i="8"/>
  <c r="R65" i="8"/>
  <c r="P29" i="8"/>
  <c r="L13" i="10" s="1"/>
  <c r="P27" i="8"/>
  <c r="L12" i="10" s="1"/>
  <c r="P19" i="8"/>
  <c r="Q17" i="8"/>
  <c r="M8" i="10" s="1"/>
  <c r="Q65" i="5" l="1"/>
  <c r="K27" i="13"/>
  <c r="K29" i="13" s="1"/>
  <c r="N88" i="14"/>
  <c r="N89" i="14" s="1"/>
  <c r="N133" i="14" s="1"/>
  <c r="R120" i="14"/>
  <c r="R124" i="14" s="1"/>
  <c r="Q126" i="14"/>
  <c r="R96" i="14"/>
  <c r="R101" i="14" s="1"/>
  <c r="R68" i="14"/>
  <c r="R70" i="14" s="1"/>
  <c r="R38" i="14"/>
  <c r="R36" i="14"/>
  <c r="R19" i="14"/>
  <c r="R21" i="14" s="1"/>
  <c r="R42" i="14"/>
  <c r="R31" i="14"/>
  <c r="R25" i="14"/>
  <c r="R29" i="14"/>
  <c r="R27" i="14"/>
  <c r="S17" i="14"/>
  <c r="Q94" i="14"/>
  <c r="Q93" i="14" s="1"/>
  <c r="R67" i="14"/>
  <c r="Q85" i="14"/>
  <c r="O86" i="14"/>
  <c r="O88" i="14" s="1"/>
  <c r="O89" i="14" s="1"/>
  <c r="O133" i="14" s="1"/>
  <c r="P73" i="14"/>
  <c r="O74" i="14"/>
  <c r="P50" i="14"/>
  <c r="P131" i="14"/>
  <c r="T64" i="14"/>
  <c r="Q69" i="14"/>
  <c r="R46" i="14"/>
  <c r="Q45" i="14"/>
  <c r="Q82" i="14"/>
  <c r="Q80" i="14"/>
  <c r="Q75" i="14"/>
  <c r="Q76" i="14"/>
  <c r="R49" i="14"/>
  <c r="Q48" i="14"/>
  <c r="O87" i="14"/>
  <c r="P79" i="14"/>
  <c r="T122" i="14"/>
  <c r="T149" i="14" s="1"/>
  <c r="P75" i="14"/>
  <c r="P82" i="14"/>
  <c r="P80" i="14"/>
  <c r="P76" i="14"/>
  <c r="O81" i="14"/>
  <c r="D31" i="13"/>
  <c r="D16" i="13"/>
  <c r="D32" i="13"/>
  <c r="E14" i="13"/>
  <c r="E24" i="13"/>
  <c r="E23" i="13"/>
  <c r="I23" i="10"/>
  <c r="I26" i="10" s="1"/>
  <c r="M54" i="14" s="1"/>
  <c r="H13" i="13"/>
  <c r="J53" i="8"/>
  <c r="E11" i="13" s="1"/>
  <c r="D33" i="13"/>
  <c r="D15" i="13"/>
  <c r="I56" i="8"/>
  <c r="J57" i="8" s="1"/>
  <c r="E9" i="13" s="1"/>
  <c r="G55" i="12"/>
  <c r="J55" i="12" s="1"/>
  <c r="K55" i="12" s="1"/>
  <c r="G65" i="12" s="1"/>
  <c r="K33" i="1" s="1"/>
  <c r="G39" i="12"/>
  <c r="F24" i="13"/>
  <c r="K57" i="8"/>
  <c r="F9" i="13" s="1"/>
  <c r="F14" i="13"/>
  <c r="F23" i="13"/>
  <c r="G54" i="12"/>
  <c r="I54" i="12" s="1"/>
  <c r="J54" i="12" s="1"/>
  <c r="K54" i="12" s="1"/>
  <c r="G64" i="12" s="1"/>
  <c r="K32" i="1" s="1"/>
  <c r="G38" i="12"/>
  <c r="C7" i="11"/>
  <c r="C8" i="11"/>
  <c r="C12" i="11" s="1"/>
  <c r="C15" i="11" s="1"/>
  <c r="L57" i="8"/>
  <c r="G9" i="13" s="1"/>
  <c r="G14" i="13"/>
  <c r="G24" i="13"/>
  <c r="G23" i="13"/>
  <c r="G28" i="12"/>
  <c r="Q26" i="8"/>
  <c r="P28" i="5"/>
  <c r="Q43" i="8"/>
  <c r="P51" i="5"/>
  <c r="Q32" i="8"/>
  <c r="Q31" i="8" s="1"/>
  <c r="M14" i="10" s="1"/>
  <c r="P37" i="5"/>
  <c r="P45" i="8"/>
  <c r="L17" i="10" s="1"/>
  <c r="M61" i="10"/>
  <c r="M34" i="10"/>
  <c r="O91" i="10"/>
  <c r="S149" i="8"/>
  <c r="T122" i="8"/>
  <c r="R113" i="8"/>
  <c r="R117" i="8" s="1"/>
  <c r="M58" i="10"/>
  <c r="M57" i="10"/>
  <c r="R62" i="10"/>
  <c r="I85" i="10"/>
  <c r="K17" i="10"/>
  <c r="K18" i="10"/>
  <c r="I9" i="11" s="1"/>
  <c r="I19" i="11" s="1"/>
  <c r="K73" i="10"/>
  <c r="N93" i="8"/>
  <c r="O94" i="8"/>
  <c r="O93" i="8" s="1"/>
  <c r="Q37" i="8"/>
  <c r="R37" i="8" s="1"/>
  <c r="S37" i="8" s="1"/>
  <c r="T37" i="8" s="1"/>
  <c r="U37" i="8" s="1"/>
  <c r="V37" i="8" s="1"/>
  <c r="P36" i="8"/>
  <c r="L15" i="10" s="1"/>
  <c r="Q97" i="8"/>
  <c r="R97" i="8" s="1"/>
  <c r="S97" i="8" s="1"/>
  <c r="T97" i="8" s="1"/>
  <c r="U97" i="8" s="1"/>
  <c r="V97" i="8" s="1"/>
  <c r="P96" i="8"/>
  <c r="P101" i="8" s="1"/>
  <c r="P48" i="8"/>
  <c r="P131" i="8" s="1"/>
  <c r="Q49" i="8"/>
  <c r="O50" i="8"/>
  <c r="M86" i="8"/>
  <c r="N73" i="8"/>
  <c r="N74" i="8" s="1"/>
  <c r="M74" i="8"/>
  <c r="N79" i="8"/>
  <c r="N81" i="8" s="1"/>
  <c r="M87" i="8"/>
  <c r="M81" i="8"/>
  <c r="P21" i="8"/>
  <c r="L9" i="10"/>
  <c r="L10" i="10" s="1"/>
  <c r="O126" i="8"/>
  <c r="P120" i="8"/>
  <c r="P124" i="8" s="1"/>
  <c r="L59" i="10" s="1"/>
  <c r="O39" i="5"/>
  <c r="O76" i="8"/>
  <c r="K32" i="10" s="1"/>
  <c r="O75" i="8"/>
  <c r="N86" i="8"/>
  <c r="O73" i="8"/>
  <c r="N87" i="8"/>
  <c r="O79" i="8"/>
  <c r="Q59" i="5"/>
  <c r="P78" i="5"/>
  <c r="O82" i="8"/>
  <c r="K60" i="10" s="1"/>
  <c r="K64" i="10" s="1"/>
  <c r="K65" i="10" s="1"/>
  <c r="O80" i="8"/>
  <c r="P33" i="8"/>
  <c r="P69" i="8"/>
  <c r="P85" i="8"/>
  <c r="Q67" i="8"/>
  <c r="Q39" i="8"/>
  <c r="P38" i="8"/>
  <c r="Q68" i="8"/>
  <c r="Q70" i="8" s="1"/>
  <c r="M31" i="10" s="1"/>
  <c r="R64" i="8"/>
  <c r="S65" i="8"/>
  <c r="S46" i="8"/>
  <c r="Q45" i="8"/>
  <c r="Q29" i="8"/>
  <c r="M13" i="10" s="1"/>
  <c r="Q27" i="8"/>
  <c r="M12" i="10" s="1"/>
  <c r="Q42" i="8"/>
  <c r="M19" i="10" s="1"/>
  <c r="Q25" i="8"/>
  <c r="M11" i="10" s="1"/>
  <c r="Q19" i="8"/>
  <c r="R17" i="8"/>
  <c r="N8" i="10" s="1"/>
  <c r="P81" i="14" l="1"/>
  <c r="M55" i="14"/>
  <c r="M56" i="14"/>
  <c r="M57" i="14" s="1"/>
  <c r="R65" i="5"/>
  <c r="L27" i="13"/>
  <c r="L29" i="13" s="1"/>
  <c r="R85" i="14"/>
  <c r="S67" i="14"/>
  <c r="R45" i="14"/>
  <c r="S46" i="14"/>
  <c r="U122" i="14"/>
  <c r="U149" i="14" s="1"/>
  <c r="Q50" i="14"/>
  <c r="Q131" i="14"/>
  <c r="R33" i="14"/>
  <c r="P74" i="14"/>
  <c r="Q73" i="14"/>
  <c r="Q74" i="14" s="1"/>
  <c r="P86" i="14"/>
  <c r="S96" i="14"/>
  <c r="S101" i="14" s="1"/>
  <c r="S68" i="14"/>
  <c r="S70" i="14" s="1"/>
  <c r="S38" i="14"/>
  <c r="S36" i="14"/>
  <c r="S19" i="14"/>
  <c r="S21" i="14" s="1"/>
  <c r="S42" i="14"/>
  <c r="S29" i="14"/>
  <c r="S27" i="14"/>
  <c r="S25" i="14"/>
  <c r="S33" i="14" s="1"/>
  <c r="T17" i="14"/>
  <c r="S31" i="14"/>
  <c r="S49" i="14"/>
  <c r="R48" i="14"/>
  <c r="Q86" i="14"/>
  <c r="Q88" i="14" s="1"/>
  <c r="R73" i="14"/>
  <c r="R94" i="14"/>
  <c r="R93" i="14" s="1"/>
  <c r="R126" i="14"/>
  <c r="S120" i="14"/>
  <c r="S124" i="14" s="1"/>
  <c r="R69" i="14"/>
  <c r="U64" i="14"/>
  <c r="P87" i="14"/>
  <c r="Q79" i="14"/>
  <c r="Q81" i="14" s="1"/>
  <c r="R79" i="14"/>
  <c r="Q87" i="14"/>
  <c r="G6" i="11"/>
  <c r="G7" i="11" s="1"/>
  <c r="G8" i="11" s="1"/>
  <c r="M54" i="8"/>
  <c r="D14" i="13"/>
  <c r="D23" i="13"/>
  <c r="D24" i="13"/>
  <c r="G53" i="12"/>
  <c r="I53" i="12" s="1"/>
  <c r="J53" i="12" s="1"/>
  <c r="K53" i="12" s="1"/>
  <c r="G63" i="12" s="1"/>
  <c r="K31" i="1" s="1"/>
  <c r="G37" i="12"/>
  <c r="R43" i="8"/>
  <c r="R42" i="8" s="1"/>
  <c r="N19" i="10" s="1"/>
  <c r="Q51" i="5"/>
  <c r="R32" i="8"/>
  <c r="R31" i="8" s="1"/>
  <c r="N14" i="10" s="1"/>
  <c r="Q37" i="5"/>
  <c r="R26" i="8"/>
  <c r="R25" i="8" s="1"/>
  <c r="Q28" i="5"/>
  <c r="Q36" i="8"/>
  <c r="M15" i="10" s="1"/>
  <c r="O86" i="8"/>
  <c r="O145" i="8"/>
  <c r="I10" i="11"/>
  <c r="I20" i="11" s="1"/>
  <c r="N145" i="8"/>
  <c r="H10" i="11"/>
  <c r="H20" i="11" s="1"/>
  <c r="P73" i="8"/>
  <c r="Q96" i="8"/>
  <c r="Q101" i="8" s="1"/>
  <c r="N61" i="10"/>
  <c r="N34" i="10"/>
  <c r="O81" i="8"/>
  <c r="P94" i="8"/>
  <c r="P93" i="8" s="1"/>
  <c r="T149" i="8"/>
  <c r="U122" i="8"/>
  <c r="P91" i="10"/>
  <c r="S113" i="8"/>
  <c r="S117" i="8" s="1"/>
  <c r="N58" i="10"/>
  <c r="N57" i="10"/>
  <c r="M88" i="8"/>
  <c r="M89" i="8" s="1"/>
  <c r="G11" i="11" s="1"/>
  <c r="J83" i="10"/>
  <c r="N100" i="8"/>
  <c r="K83" i="10"/>
  <c r="O100" i="8"/>
  <c r="L18" i="10"/>
  <c r="J9" i="11" s="1"/>
  <c r="J19" i="11" s="1"/>
  <c r="L73" i="10"/>
  <c r="M17" i="10"/>
  <c r="Q48" i="8"/>
  <c r="Q131" i="8" s="1"/>
  <c r="R49" i="8"/>
  <c r="S49" i="8" s="1"/>
  <c r="O74" i="8"/>
  <c r="N88" i="8"/>
  <c r="P50" i="8"/>
  <c r="L16" i="10"/>
  <c r="Q69" i="8"/>
  <c r="Q21" i="8"/>
  <c r="M9" i="10"/>
  <c r="M10" i="10" s="1"/>
  <c r="P126" i="8"/>
  <c r="Q120" i="8"/>
  <c r="Q124" i="8" s="1"/>
  <c r="M59" i="10" s="1"/>
  <c r="P79" i="8"/>
  <c r="O87" i="8"/>
  <c r="P39" i="5"/>
  <c r="P76" i="8"/>
  <c r="L32" i="10" s="1"/>
  <c r="P75" i="8"/>
  <c r="P82" i="8"/>
  <c r="P80" i="8"/>
  <c r="R59" i="5"/>
  <c r="Q78" i="5"/>
  <c r="Q33" i="8"/>
  <c r="R39" i="8"/>
  <c r="Q38" i="8"/>
  <c r="R68" i="8"/>
  <c r="R70" i="8" s="1"/>
  <c r="N31" i="10" s="1"/>
  <c r="R96" i="8"/>
  <c r="R101" i="8" s="1"/>
  <c r="S64" i="8"/>
  <c r="Q85" i="8"/>
  <c r="R67" i="8"/>
  <c r="T65" i="8"/>
  <c r="T46" i="8"/>
  <c r="R45" i="8"/>
  <c r="R36" i="8"/>
  <c r="N15" i="10" s="1"/>
  <c r="R29" i="8"/>
  <c r="N13" i="10" s="1"/>
  <c r="R27" i="8"/>
  <c r="N12" i="10" s="1"/>
  <c r="R19" i="8"/>
  <c r="S17" i="8"/>
  <c r="O8" i="10" s="1"/>
  <c r="S65" i="5" l="1"/>
  <c r="M27" i="13"/>
  <c r="M29" i="13" s="1"/>
  <c r="T49" i="14"/>
  <c r="S48" i="14"/>
  <c r="R82" i="14"/>
  <c r="R80" i="14"/>
  <c r="R81" i="14" s="1"/>
  <c r="R75" i="14"/>
  <c r="R76" i="14"/>
  <c r="S75" i="14"/>
  <c r="S82" i="14"/>
  <c r="S80" i="14"/>
  <c r="S76" i="14"/>
  <c r="S45" i="14"/>
  <c r="T46" i="14"/>
  <c r="S69" i="14"/>
  <c r="T120" i="14"/>
  <c r="T124" i="14" s="1"/>
  <c r="S126" i="14"/>
  <c r="T67" i="14"/>
  <c r="S85" i="14"/>
  <c r="T96" i="14"/>
  <c r="T101" i="14" s="1"/>
  <c r="T42" i="14"/>
  <c r="T31" i="14"/>
  <c r="T29" i="14"/>
  <c r="T68" i="14"/>
  <c r="T70" i="14" s="1"/>
  <c r="T38" i="14"/>
  <c r="T36" i="14"/>
  <c r="T19" i="14"/>
  <c r="T21" i="14" s="1"/>
  <c r="U17" i="14"/>
  <c r="T27" i="14"/>
  <c r="T25" i="14"/>
  <c r="T33" i="14" s="1"/>
  <c r="S94" i="14"/>
  <c r="S93" i="14" s="1"/>
  <c r="P88" i="14"/>
  <c r="P89" i="14" s="1"/>
  <c r="P133" i="14" s="1"/>
  <c r="V64" i="14"/>
  <c r="R131" i="14"/>
  <c r="R50" i="14"/>
  <c r="V122" i="14"/>
  <c r="V149" i="14" s="1"/>
  <c r="H15" i="13"/>
  <c r="M55" i="8"/>
  <c r="H10" i="13" s="1"/>
  <c r="M56" i="8"/>
  <c r="S32" i="8"/>
  <c r="S31" i="8" s="1"/>
  <c r="O14" i="10" s="1"/>
  <c r="R37" i="5"/>
  <c r="O88" i="8"/>
  <c r="O89" i="8" s="1"/>
  <c r="I11" i="11" s="1"/>
  <c r="I21" i="11" s="1"/>
  <c r="S26" i="8"/>
  <c r="S25" i="8" s="1"/>
  <c r="R28" i="5"/>
  <c r="S43" i="8"/>
  <c r="R51" i="5"/>
  <c r="R48" i="8"/>
  <c r="R131" i="8" s="1"/>
  <c r="G12" i="11"/>
  <c r="G15" i="11" s="1"/>
  <c r="G21" i="11"/>
  <c r="P145" i="8"/>
  <c r="J10" i="11"/>
  <c r="J20" i="11" s="1"/>
  <c r="U149" i="8"/>
  <c r="V122" i="8"/>
  <c r="Q91" i="10"/>
  <c r="I75" i="10"/>
  <c r="M133" i="8"/>
  <c r="N89" i="8"/>
  <c r="H11" i="11" s="1"/>
  <c r="H21" i="11" s="1"/>
  <c r="P100" i="8"/>
  <c r="L83" i="10"/>
  <c r="L85" i="10" s="1"/>
  <c r="P87" i="8"/>
  <c r="L60" i="10"/>
  <c r="L64" i="10" s="1"/>
  <c r="L65" i="10" s="1"/>
  <c r="O61" i="10"/>
  <c r="O34" i="10"/>
  <c r="P81" i="8"/>
  <c r="Q94" i="8"/>
  <c r="Q93" i="8" s="1"/>
  <c r="T113" i="8"/>
  <c r="T117" i="8" s="1"/>
  <c r="O57" i="10"/>
  <c r="O58" i="10"/>
  <c r="J85" i="10"/>
  <c r="K85" i="10"/>
  <c r="M18" i="10"/>
  <c r="K9" i="11" s="1"/>
  <c r="K19" i="11" s="1"/>
  <c r="M73" i="10"/>
  <c r="N17" i="10"/>
  <c r="Q73" i="8"/>
  <c r="P86" i="8"/>
  <c r="P74" i="8"/>
  <c r="S39" i="8"/>
  <c r="T39" i="8" s="1"/>
  <c r="U39" i="8" s="1"/>
  <c r="V39" i="8" s="1"/>
  <c r="R38" i="8"/>
  <c r="N16" i="10" s="1"/>
  <c r="Q79" i="8"/>
  <c r="Q50" i="8"/>
  <c r="M16" i="10"/>
  <c r="R33" i="8"/>
  <c r="N11" i="10"/>
  <c r="R21" i="8"/>
  <c r="N9" i="10"/>
  <c r="N10" i="10" s="1"/>
  <c r="Q126" i="8"/>
  <c r="R120" i="8"/>
  <c r="R124" i="8" s="1"/>
  <c r="N59" i="10" s="1"/>
  <c r="S59" i="5"/>
  <c r="R78" i="5"/>
  <c r="Q76" i="8"/>
  <c r="M32" i="10" s="1"/>
  <c r="Q75" i="8"/>
  <c r="Q82" i="8"/>
  <c r="M60" i="10" s="1"/>
  <c r="M64" i="10" s="1"/>
  <c r="M65" i="10" s="1"/>
  <c r="Q80" i="8"/>
  <c r="Q39" i="5"/>
  <c r="R69" i="8"/>
  <c r="R85" i="8"/>
  <c r="S67" i="8"/>
  <c r="S68" i="8"/>
  <c r="S70" i="8" s="1"/>
  <c r="O31" i="10" s="1"/>
  <c r="S96" i="8"/>
  <c r="S101" i="8" s="1"/>
  <c r="T64" i="8"/>
  <c r="U65" i="8"/>
  <c r="U46" i="8"/>
  <c r="S48" i="8"/>
  <c r="S131" i="8" s="1"/>
  <c r="T49" i="8"/>
  <c r="S45" i="8"/>
  <c r="S36" i="8"/>
  <c r="O15" i="10" s="1"/>
  <c r="S29" i="8"/>
  <c r="O13" i="10" s="1"/>
  <c r="S27" i="8"/>
  <c r="O12" i="10" s="1"/>
  <c r="S19" i="8"/>
  <c r="T17" i="8"/>
  <c r="P8" i="10" s="1"/>
  <c r="T65" i="5" l="1"/>
  <c r="N27" i="13"/>
  <c r="N29" i="13" s="1"/>
  <c r="T94" i="14"/>
  <c r="T93" i="14" s="1"/>
  <c r="S73" i="14"/>
  <c r="S74" i="14" s="1"/>
  <c r="R74" i="14"/>
  <c r="R86" i="14"/>
  <c r="R88" i="14" s="1"/>
  <c r="R89" i="14" s="1"/>
  <c r="R133" i="14" s="1"/>
  <c r="U42" i="14"/>
  <c r="U27" i="14"/>
  <c r="U25" i="14"/>
  <c r="U33" i="14" s="1"/>
  <c r="U31" i="14"/>
  <c r="U29" i="14"/>
  <c r="U96" i="14"/>
  <c r="U101" i="14" s="1"/>
  <c r="U68" i="14"/>
  <c r="U70" i="14" s="1"/>
  <c r="U38" i="14"/>
  <c r="U36" i="14"/>
  <c r="V17" i="14"/>
  <c r="U19" i="14"/>
  <c r="U21" i="14" s="1"/>
  <c r="T85" i="14"/>
  <c r="U67" i="14"/>
  <c r="T69" i="14"/>
  <c r="T75" i="14"/>
  <c r="T82" i="14"/>
  <c r="T80" i="14"/>
  <c r="T76" i="14"/>
  <c r="S131" i="14"/>
  <c r="S50" i="14"/>
  <c r="T48" i="14"/>
  <c r="U49" i="14"/>
  <c r="T45" i="14"/>
  <c r="U46" i="14"/>
  <c r="S86" i="14"/>
  <c r="T73" i="14"/>
  <c r="S79" i="14"/>
  <c r="S81" i="14" s="1"/>
  <c r="R87" i="14"/>
  <c r="T79" i="14"/>
  <c r="S87" i="14"/>
  <c r="U120" i="14"/>
  <c r="U124" i="14" s="1"/>
  <c r="T126" i="14"/>
  <c r="Q89" i="14"/>
  <c r="Q133" i="14" s="1"/>
  <c r="M57" i="8"/>
  <c r="H9" i="13" s="1"/>
  <c r="H14" i="13"/>
  <c r="H24" i="13"/>
  <c r="H23" i="13"/>
  <c r="T43" i="8"/>
  <c r="S51" i="5"/>
  <c r="T26" i="8"/>
  <c r="S28" i="5"/>
  <c r="N73" i="10"/>
  <c r="S42" i="8"/>
  <c r="O19" i="10" s="1"/>
  <c r="N18" i="10"/>
  <c r="L9" i="11" s="1"/>
  <c r="L19" i="11" s="1"/>
  <c r="T32" i="8"/>
  <c r="T31" i="8" s="1"/>
  <c r="P14" i="10" s="1"/>
  <c r="S37" i="5"/>
  <c r="Q145" i="8"/>
  <c r="K10" i="11"/>
  <c r="K20" i="11" s="1"/>
  <c r="S38" i="8"/>
  <c r="O16" i="10" s="1"/>
  <c r="R94" i="8"/>
  <c r="R93" i="8" s="1"/>
  <c r="O133" i="8"/>
  <c r="K75" i="10"/>
  <c r="R50" i="8"/>
  <c r="J75" i="10"/>
  <c r="N133" i="8"/>
  <c r="P61" i="10"/>
  <c r="P34" i="10"/>
  <c r="P88" i="8"/>
  <c r="P89" i="8" s="1"/>
  <c r="J11" i="11" s="1"/>
  <c r="J21" i="11" s="1"/>
  <c r="Q100" i="8"/>
  <c r="R91" i="10"/>
  <c r="V149" i="8"/>
  <c r="M83" i="10"/>
  <c r="M85" i="10" s="1"/>
  <c r="U113" i="8"/>
  <c r="U117" i="8" s="1"/>
  <c r="P57" i="10"/>
  <c r="P58" i="10"/>
  <c r="Q81" i="8"/>
  <c r="O18" i="10"/>
  <c r="M9" i="11" s="1"/>
  <c r="M19" i="11" s="1"/>
  <c r="O73" i="10"/>
  <c r="O17" i="10"/>
  <c r="R39" i="5"/>
  <c r="R76" i="8"/>
  <c r="N32" i="10" s="1"/>
  <c r="R75" i="8"/>
  <c r="R82" i="8"/>
  <c r="N60" i="10" s="1"/>
  <c r="N64" i="10" s="1"/>
  <c r="N65" i="10" s="1"/>
  <c r="R80" i="8"/>
  <c r="Q86" i="8"/>
  <c r="R73" i="8"/>
  <c r="Q74" i="8"/>
  <c r="R79" i="8"/>
  <c r="Q87" i="8"/>
  <c r="S69" i="8"/>
  <c r="S33" i="8"/>
  <c r="S39" i="5" s="1"/>
  <c r="O11" i="10"/>
  <c r="S21" i="8"/>
  <c r="O9" i="10"/>
  <c r="O10" i="10" s="1"/>
  <c r="R126" i="8"/>
  <c r="S120" i="8"/>
  <c r="S124" i="8" s="1"/>
  <c r="O59" i="10" s="1"/>
  <c r="T59" i="5"/>
  <c r="S78" i="5"/>
  <c r="T68" i="8"/>
  <c r="T70" i="8" s="1"/>
  <c r="P31" i="10" s="1"/>
  <c r="T96" i="8"/>
  <c r="T101" i="8" s="1"/>
  <c r="U64" i="8"/>
  <c r="T67" i="8"/>
  <c r="S85" i="8"/>
  <c r="V65" i="8"/>
  <c r="V46" i="8"/>
  <c r="T48" i="8"/>
  <c r="T131" i="8" s="1"/>
  <c r="U49" i="8"/>
  <c r="T45" i="8"/>
  <c r="T36" i="8"/>
  <c r="P15" i="10" s="1"/>
  <c r="T29" i="8"/>
  <c r="P13" i="10" s="1"/>
  <c r="T27" i="8"/>
  <c r="P12" i="10" s="1"/>
  <c r="T42" i="8"/>
  <c r="P19" i="10" s="1"/>
  <c r="T38" i="8"/>
  <c r="P16" i="10" s="1"/>
  <c r="T25" i="8"/>
  <c r="P11" i="10" s="1"/>
  <c r="T19" i="8"/>
  <c r="U17" i="8"/>
  <c r="Q8" i="10" s="1"/>
  <c r="S88" i="14" l="1"/>
  <c r="S89" i="14" s="1"/>
  <c r="S133" i="14" s="1"/>
  <c r="U65" i="5"/>
  <c r="O27" i="13"/>
  <c r="O29" i="13" s="1"/>
  <c r="U69" i="14"/>
  <c r="U45" i="14"/>
  <c r="V46" i="14"/>
  <c r="V45" i="14" s="1"/>
  <c r="U73" i="14"/>
  <c r="T74" i="14"/>
  <c r="T86" i="14"/>
  <c r="T87" i="14"/>
  <c r="U79" i="14"/>
  <c r="T81" i="14"/>
  <c r="T131" i="14"/>
  <c r="T50" i="14"/>
  <c r="V67" i="14"/>
  <c r="U85" i="14"/>
  <c r="V120" i="14"/>
  <c r="V124" i="14" s="1"/>
  <c r="V126" i="14" s="1"/>
  <c r="U126" i="14"/>
  <c r="U48" i="14"/>
  <c r="V49" i="14"/>
  <c r="V48" i="14" s="1"/>
  <c r="U75" i="14"/>
  <c r="U82" i="14"/>
  <c r="U80" i="14"/>
  <c r="U76" i="14"/>
  <c r="V96" i="14"/>
  <c r="V101" i="14" s="1"/>
  <c r="V31" i="14"/>
  <c r="V29" i="14"/>
  <c r="V27" i="14"/>
  <c r="V25" i="14"/>
  <c r="V68" i="14"/>
  <c r="V70" i="14" s="1"/>
  <c r="V85" i="14" s="1"/>
  <c r="V38" i="14"/>
  <c r="V36" i="14"/>
  <c r="V42" i="14"/>
  <c r="V19" i="14"/>
  <c r="V21" i="14" s="1"/>
  <c r="U94" i="14"/>
  <c r="U93" i="14" s="1"/>
  <c r="U32" i="8"/>
  <c r="T37" i="5"/>
  <c r="U26" i="8"/>
  <c r="T28" i="5"/>
  <c r="U43" i="8"/>
  <c r="U42" i="8" s="1"/>
  <c r="Q19" i="10" s="1"/>
  <c r="T51" i="5"/>
  <c r="S50" i="8"/>
  <c r="R145" i="8"/>
  <c r="L10" i="11"/>
  <c r="L20" i="11" s="1"/>
  <c r="R100" i="8"/>
  <c r="N83" i="10"/>
  <c r="N85" i="10" s="1"/>
  <c r="S75" i="8"/>
  <c r="R81" i="8"/>
  <c r="S79" i="8"/>
  <c r="R87" i="8"/>
  <c r="T85" i="8"/>
  <c r="S80" i="8"/>
  <c r="S82" i="8"/>
  <c r="O60" i="10" s="1"/>
  <c r="O64" i="10" s="1"/>
  <c r="O65" i="10" s="1"/>
  <c r="S94" i="8"/>
  <c r="S93" i="8" s="1"/>
  <c r="R74" i="8"/>
  <c r="S73" i="8"/>
  <c r="R86" i="8"/>
  <c r="S76" i="8"/>
  <c r="O32" i="10" s="1"/>
  <c r="Q61" i="10"/>
  <c r="Q34" i="10"/>
  <c r="L75" i="10"/>
  <c r="P133" i="8"/>
  <c r="V113" i="8"/>
  <c r="V117" i="8" s="1"/>
  <c r="Q57" i="10"/>
  <c r="Q58" i="10"/>
  <c r="P18" i="10"/>
  <c r="N9" i="11" s="1"/>
  <c r="N19" i="11" s="1"/>
  <c r="P73" i="10"/>
  <c r="P17" i="10"/>
  <c r="Q88" i="8"/>
  <c r="Q89" i="8" s="1"/>
  <c r="K11" i="11" s="1"/>
  <c r="K21" i="11" s="1"/>
  <c r="U67" i="8"/>
  <c r="T21" i="8"/>
  <c r="P9" i="10"/>
  <c r="P10" i="10" s="1"/>
  <c r="S126" i="8"/>
  <c r="T120" i="8"/>
  <c r="T124" i="8" s="1"/>
  <c r="P59" i="10" s="1"/>
  <c r="U59" i="5"/>
  <c r="T78" i="5"/>
  <c r="T69" i="8"/>
  <c r="T33" i="8"/>
  <c r="U68" i="8"/>
  <c r="U70" i="8" s="1"/>
  <c r="Q31" i="10" s="1"/>
  <c r="U96" i="8"/>
  <c r="U101" i="8" s="1"/>
  <c r="V64" i="8"/>
  <c r="U48" i="8"/>
  <c r="U131" i="8" s="1"/>
  <c r="V49" i="8"/>
  <c r="T50" i="8"/>
  <c r="U45" i="8"/>
  <c r="U36" i="8"/>
  <c r="Q15" i="10" s="1"/>
  <c r="U31" i="8"/>
  <c r="Q14" i="10" s="1"/>
  <c r="U29" i="8"/>
  <c r="Q13" i="10" s="1"/>
  <c r="U27" i="8"/>
  <c r="Q12" i="10" s="1"/>
  <c r="U25" i="8"/>
  <c r="U38" i="8"/>
  <c r="Q16" i="10" s="1"/>
  <c r="U19" i="8"/>
  <c r="V17" i="8"/>
  <c r="R8" i="10" s="1"/>
  <c r="V65" i="5" l="1"/>
  <c r="Q27" i="13" s="1"/>
  <c r="Q29" i="13" s="1"/>
  <c r="P27" i="13"/>
  <c r="P29" i="13" s="1"/>
  <c r="U81" i="14"/>
  <c r="T88" i="14"/>
  <c r="T89" i="14" s="1"/>
  <c r="T133" i="14" s="1"/>
  <c r="V131" i="14"/>
  <c r="V50" i="14"/>
  <c r="V79" i="14"/>
  <c r="U87" i="14"/>
  <c r="V73" i="14"/>
  <c r="U74" i="14"/>
  <c r="U86" i="14"/>
  <c r="V33" i="14"/>
  <c r="V69" i="14"/>
  <c r="U131" i="14"/>
  <c r="U50" i="14"/>
  <c r="V94" i="14"/>
  <c r="V93" i="14" s="1"/>
  <c r="V26" i="8"/>
  <c r="V28" i="5" s="1"/>
  <c r="U28" i="5"/>
  <c r="V43" i="8"/>
  <c r="V51" i="5" s="1"/>
  <c r="U51" i="5"/>
  <c r="T94" i="8"/>
  <c r="T93" i="8" s="1"/>
  <c r="T145" i="8" s="1"/>
  <c r="V32" i="8"/>
  <c r="V37" i="5" s="1"/>
  <c r="U37" i="5"/>
  <c r="S145" i="8"/>
  <c r="M10" i="11"/>
  <c r="M20" i="11" s="1"/>
  <c r="R88" i="8"/>
  <c r="R89" i="8" s="1"/>
  <c r="L11" i="11" s="1"/>
  <c r="L21" i="11" s="1"/>
  <c r="S81" i="8"/>
  <c r="O83" i="10"/>
  <c r="O85" i="10" s="1"/>
  <c r="T79" i="8"/>
  <c r="S87" i="8"/>
  <c r="S100" i="8"/>
  <c r="M75" i="10"/>
  <c r="Q133" i="8"/>
  <c r="S74" i="8"/>
  <c r="S86" i="8"/>
  <c r="T73" i="8"/>
  <c r="R34" i="10"/>
  <c r="R61" i="10"/>
  <c r="R58" i="10"/>
  <c r="R57" i="10"/>
  <c r="Q18" i="10"/>
  <c r="O9" i="11" s="1"/>
  <c r="O19" i="11" s="1"/>
  <c r="Q73" i="10"/>
  <c r="Q17" i="10"/>
  <c r="T75" i="8"/>
  <c r="T82" i="8"/>
  <c r="P60" i="10" s="1"/>
  <c r="P64" i="10" s="1"/>
  <c r="P65" i="10" s="1"/>
  <c r="T80" i="8"/>
  <c r="U69" i="8"/>
  <c r="U33" i="8"/>
  <c r="Q11" i="10"/>
  <c r="U21" i="8"/>
  <c r="Q9" i="10"/>
  <c r="Q10" i="10" s="1"/>
  <c r="T126" i="8"/>
  <c r="U120" i="8"/>
  <c r="U124" i="8" s="1"/>
  <c r="Q59" i="10" s="1"/>
  <c r="U78" i="5"/>
  <c r="V59" i="5"/>
  <c r="V78" i="5" s="1"/>
  <c r="T76" i="8"/>
  <c r="P32" i="10" s="1"/>
  <c r="T39" i="5"/>
  <c r="V68" i="8"/>
  <c r="V70" i="8" s="1"/>
  <c r="R31" i="10" s="1"/>
  <c r="V96" i="8"/>
  <c r="V101" i="8" s="1"/>
  <c r="U85" i="8"/>
  <c r="V67" i="8"/>
  <c r="U50" i="8"/>
  <c r="V48" i="8"/>
  <c r="V131" i="8" s="1"/>
  <c r="V19" i="8"/>
  <c r="V36" i="8"/>
  <c r="R15" i="10" s="1"/>
  <c r="V29" i="8"/>
  <c r="R13" i="10" s="1"/>
  <c r="V27" i="8"/>
  <c r="R12" i="10" s="1"/>
  <c r="V38" i="8"/>
  <c r="R16" i="10" s="1"/>
  <c r="V45" i="8"/>
  <c r="U88" i="14" l="1"/>
  <c r="U89" i="14" s="1"/>
  <c r="U133" i="14" s="1"/>
  <c r="V42" i="8"/>
  <c r="R19" i="10" s="1"/>
  <c r="V25" i="8"/>
  <c r="V75" i="14"/>
  <c r="V82" i="14"/>
  <c r="V87" i="14" s="1"/>
  <c r="V80" i="14"/>
  <c r="V81" i="14" s="1"/>
  <c r="V76" i="14"/>
  <c r="N10" i="11"/>
  <c r="N20" i="11" s="1"/>
  <c r="P83" i="10"/>
  <c r="P85" i="10" s="1"/>
  <c r="T100" i="8"/>
  <c r="V31" i="8"/>
  <c r="R14" i="10" s="1"/>
  <c r="U94" i="8"/>
  <c r="U93" i="8" s="1"/>
  <c r="Q83" i="10" s="1"/>
  <c r="S88" i="8"/>
  <c r="S89" i="8" s="1"/>
  <c r="M11" i="11" s="1"/>
  <c r="M21" i="11" s="1"/>
  <c r="U145" i="8"/>
  <c r="O10" i="11"/>
  <c r="O20" i="11" s="1"/>
  <c r="T81" i="8"/>
  <c r="O75" i="10"/>
  <c r="N75" i="10"/>
  <c r="R133" i="8"/>
  <c r="R18" i="10"/>
  <c r="P9" i="11" s="1"/>
  <c r="P19" i="11" s="1"/>
  <c r="R73" i="10"/>
  <c r="R17" i="10"/>
  <c r="V94" i="8"/>
  <c r="V93" i="8" s="1"/>
  <c r="U79" i="8"/>
  <c r="T87" i="8"/>
  <c r="U39" i="5"/>
  <c r="U76" i="8"/>
  <c r="Q32" i="10" s="1"/>
  <c r="U75" i="8"/>
  <c r="U82" i="8"/>
  <c r="Q60" i="10" s="1"/>
  <c r="Q64" i="10" s="1"/>
  <c r="Q65" i="10" s="1"/>
  <c r="U80" i="8"/>
  <c r="U73" i="8"/>
  <c r="T86" i="8"/>
  <c r="T74" i="8"/>
  <c r="V85" i="8"/>
  <c r="V21" i="8"/>
  <c r="R9" i="10"/>
  <c r="R10" i="10" s="1"/>
  <c r="V33" i="8"/>
  <c r="R11" i="10"/>
  <c r="U126" i="8"/>
  <c r="V120" i="8"/>
  <c r="V124" i="8" s="1"/>
  <c r="R59" i="10" s="1"/>
  <c r="V69" i="8"/>
  <c r="V50" i="8" l="1"/>
  <c r="V74" i="14"/>
  <c r="V86" i="14"/>
  <c r="V88" i="14" s="1"/>
  <c r="V89" i="14" s="1"/>
  <c r="V133" i="14" s="1"/>
  <c r="U100" i="8"/>
  <c r="S133" i="8"/>
  <c r="U74" i="8"/>
  <c r="V145" i="8"/>
  <c r="P10" i="11"/>
  <c r="P20" i="11" s="1"/>
  <c r="T88" i="8"/>
  <c r="T89" i="8" s="1"/>
  <c r="N11" i="11" s="1"/>
  <c r="N21" i="11" s="1"/>
  <c r="U86" i="8"/>
  <c r="V73" i="8"/>
  <c r="U81" i="8"/>
  <c r="Q85" i="10"/>
  <c r="V100" i="8"/>
  <c r="R83" i="10"/>
  <c r="U87" i="8"/>
  <c r="V79" i="8"/>
  <c r="V39" i="5"/>
  <c r="V76" i="8"/>
  <c r="R32" i="10" s="1"/>
  <c r="V75" i="8"/>
  <c r="V82" i="8"/>
  <c r="R60" i="10" s="1"/>
  <c r="R64" i="10" s="1"/>
  <c r="R65" i="10" s="1"/>
  <c r="V80" i="8"/>
  <c r="V126" i="8"/>
  <c r="P75" i="10" l="1"/>
  <c r="T133" i="8"/>
  <c r="U88" i="8"/>
  <c r="U89" i="8" s="1"/>
  <c r="O11" i="11" s="1"/>
  <c r="O21" i="11" s="1"/>
  <c r="R85" i="10"/>
  <c r="V81" i="8"/>
  <c r="V86" i="8"/>
  <c r="V74" i="8"/>
  <c r="V87" i="8"/>
  <c r="U133" i="8" l="1"/>
  <c r="Q75" i="10"/>
  <c r="V88" i="8"/>
  <c r="V89" i="8" s="1"/>
  <c r="P11" i="11" s="1"/>
  <c r="P21" i="11" s="1"/>
  <c r="V133" i="8" l="1"/>
  <c r="R75" i="10"/>
  <c r="M102" i="8" l="1"/>
  <c r="M106" i="8" l="1"/>
  <c r="I38" i="10" s="1"/>
  <c r="M105" i="8"/>
  <c r="I37" i="10" s="1"/>
  <c r="M104" i="8"/>
  <c r="N99" i="8"/>
  <c r="N102" i="8" s="1"/>
  <c r="I36" i="10" l="1"/>
  <c r="I45" i="10" s="1"/>
  <c r="M107" i="8"/>
  <c r="N104" i="8"/>
  <c r="N106" i="8"/>
  <c r="J38" i="10" s="1"/>
  <c r="N105" i="8"/>
  <c r="J37" i="10" s="1"/>
  <c r="O99" i="8"/>
  <c r="O102" i="8" s="1"/>
  <c r="O105" i="8" l="1"/>
  <c r="K37" i="10" s="1"/>
  <c r="O104" i="8"/>
  <c r="O106" i="8"/>
  <c r="K38" i="10" s="1"/>
  <c r="J36" i="10"/>
  <c r="J45" i="10" s="1"/>
  <c r="N107" i="8"/>
  <c r="P99" i="8"/>
  <c r="P102" i="8" s="1"/>
  <c r="P106" i="8" l="1"/>
  <c r="L38" i="10" s="1"/>
  <c r="P105" i="8"/>
  <c r="L37" i="10" s="1"/>
  <c r="P104" i="8"/>
  <c r="K36" i="10"/>
  <c r="K45" i="10" s="1"/>
  <c r="O107" i="8"/>
  <c r="Q99" i="8"/>
  <c r="Q102" i="8" s="1"/>
  <c r="Q106" i="8" l="1"/>
  <c r="M38" i="10" s="1"/>
  <c r="Q105" i="8"/>
  <c r="M37" i="10" s="1"/>
  <c r="Q104" i="8"/>
  <c r="L36" i="10"/>
  <c r="L45" i="10" s="1"/>
  <c r="P107" i="8"/>
  <c r="R99" i="8"/>
  <c r="R102" i="8" s="1"/>
  <c r="R105" i="8" l="1"/>
  <c r="N37" i="10" s="1"/>
  <c r="R104" i="8"/>
  <c r="R106" i="8"/>
  <c r="N38" i="10" s="1"/>
  <c r="M36" i="10"/>
  <c r="M45" i="10" s="1"/>
  <c r="Q107" i="8"/>
  <c r="S99" i="8"/>
  <c r="S102" i="8" s="1"/>
  <c r="S106" i="8" l="1"/>
  <c r="O38" i="10" s="1"/>
  <c r="S105" i="8"/>
  <c r="O37" i="10" s="1"/>
  <c r="S104" i="8"/>
  <c r="N36" i="10"/>
  <c r="N45" i="10" s="1"/>
  <c r="R107" i="8"/>
  <c r="T99" i="8"/>
  <c r="T102" i="8" s="1"/>
  <c r="T105" i="8" l="1"/>
  <c r="P37" i="10" s="1"/>
  <c r="T106" i="8"/>
  <c r="P38" i="10" s="1"/>
  <c r="T104" i="8"/>
  <c r="O36" i="10"/>
  <c r="O45" i="10" s="1"/>
  <c r="S107" i="8"/>
  <c r="U99" i="8"/>
  <c r="U102" i="8" s="1"/>
  <c r="U106" i="8" l="1"/>
  <c r="Q38" i="10" s="1"/>
  <c r="U105" i="8"/>
  <c r="Q37" i="10" s="1"/>
  <c r="U104" i="8"/>
  <c r="P36" i="10"/>
  <c r="P45" i="10" s="1"/>
  <c r="T107" i="8"/>
  <c r="V99" i="8"/>
  <c r="V102" i="8" s="1"/>
  <c r="Q36" i="10" l="1"/>
  <c r="Q45" i="10" s="1"/>
  <c r="U107" i="8"/>
  <c r="V104" i="8"/>
  <c r="V106" i="8"/>
  <c r="R38" i="10" s="1"/>
  <c r="V105" i="8"/>
  <c r="R37" i="10" s="1"/>
  <c r="I74" i="10"/>
  <c r="R36" i="10" l="1"/>
  <c r="R45" i="10" s="1"/>
  <c r="V107" i="8"/>
  <c r="D20" i="10" l="1"/>
  <c r="D21" i="10" s="1"/>
  <c r="C13" i="13" s="1"/>
  <c r="J20" i="10"/>
  <c r="J21" i="10" s="1"/>
  <c r="N20" i="10"/>
  <c r="N21" i="10" s="1"/>
  <c r="R20" i="10"/>
  <c r="R21" i="10" s="1"/>
  <c r="Q20" i="10"/>
  <c r="Q21" i="10" s="1"/>
  <c r="P20" i="10"/>
  <c r="P21" i="10" s="1"/>
  <c r="M20" i="10"/>
  <c r="M21" i="10" s="1"/>
  <c r="L20" i="10"/>
  <c r="L21" i="10" s="1"/>
  <c r="K20" i="10"/>
  <c r="K21" i="10" s="1"/>
  <c r="O20" i="10"/>
  <c r="O21" i="10" s="1"/>
  <c r="O23" i="10" l="1"/>
  <c r="O26" i="10" s="1"/>
  <c r="S54" i="14" s="1"/>
  <c r="N13" i="13"/>
  <c r="L23" i="10"/>
  <c r="L26" i="10" s="1"/>
  <c r="P54" i="14" s="1"/>
  <c r="K13" i="13"/>
  <c r="Q23" i="10"/>
  <c r="Q26" i="10" s="1"/>
  <c r="U54" i="14" s="1"/>
  <c r="P13" i="13"/>
  <c r="K23" i="10"/>
  <c r="K26" i="10" s="1"/>
  <c r="O54" i="14" s="1"/>
  <c r="J13" i="13"/>
  <c r="M23" i="10"/>
  <c r="M26" i="10" s="1"/>
  <c r="Q54" i="14" s="1"/>
  <c r="L13" i="13"/>
  <c r="P23" i="10"/>
  <c r="P26" i="10" s="1"/>
  <c r="T54" i="14" s="1"/>
  <c r="O13" i="13"/>
  <c r="R23" i="10"/>
  <c r="R26" i="10" s="1"/>
  <c r="V54" i="14" s="1"/>
  <c r="Q13" i="13"/>
  <c r="N23" i="10"/>
  <c r="N26" i="10" s="1"/>
  <c r="R54" i="14" s="1"/>
  <c r="M13" i="13"/>
  <c r="J23" i="10"/>
  <c r="J26" i="10" s="1"/>
  <c r="N54" i="14" s="1"/>
  <c r="I13" i="13"/>
  <c r="D23" i="10"/>
  <c r="L77" i="10"/>
  <c r="R24" i="10"/>
  <c r="R25" i="10" s="1"/>
  <c r="R72" i="10"/>
  <c r="V130" i="14" s="1"/>
  <c r="P77" i="10"/>
  <c r="P24" i="10"/>
  <c r="P25" i="10" s="1"/>
  <c r="P72" i="10"/>
  <c r="T130" i="14" s="1"/>
  <c r="O77" i="10"/>
  <c r="O24" i="10"/>
  <c r="O25" i="10" s="1"/>
  <c r="O72" i="10"/>
  <c r="S130" i="14" s="1"/>
  <c r="S52" i="8" l="1"/>
  <c r="S158" i="14"/>
  <c r="S159" i="14" s="1"/>
  <c r="S150" i="14" s="1"/>
  <c r="S52" i="14"/>
  <c r="T134" i="14"/>
  <c r="T135" i="14"/>
  <c r="N55" i="14"/>
  <c r="N56" i="14"/>
  <c r="N57" i="14" s="1"/>
  <c r="O55" i="14"/>
  <c r="O56" i="14"/>
  <c r="O57" i="14" s="1"/>
  <c r="Q55" i="14"/>
  <c r="Q56" i="14"/>
  <c r="T52" i="8"/>
  <c r="T52" i="14"/>
  <c r="T53" i="14" s="1"/>
  <c r="T158" i="14"/>
  <c r="T159" i="14" s="1"/>
  <c r="T150" i="14" s="1"/>
  <c r="R55" i="14"/>
  <c r="R56" i="14"/>
  <c r="R57" i="14" s="1"/>
  <c r="N77" i="10"/>
  <c r="U55" i="14"/>
  <c r="U56" i="14"/>
  <c r="U57" i="14" s="1"/>
  <c r="V134" i="14"/>
  <c r="V135" i="14" s="1"/>
  <c r="P55" i="14"/>
  <c r="P56" i="14"/>
  <c r="V52" i="8"/>
  <c r="V52" i="14"/>
  <c r="V158" i="14"/>
  <c r="V159" i="14" s="1"/>
  <c r="V150" i="14" s="1"/>
  <c r="N24" i="10"/>
  <c r="N25" i="10" s="1"/>
  <c r="V55" i="14"/>
  <c r="V56" i="14"/>
  <c r="S134" i="14"/>
  <c r="S135" i="14" s="1"/>
  <c r="R77" i="10"/>
  <c r="T55" i="14"/>
  <c r="T56" i="14"/>
  <c r="S55" i="14"/>
  <c r="S56" i="14"/>
  <c r="Q77" i="10"/>
  <c r="K77" i="10"/>
  <c r="L24" i="10"/>
  <c r="L25" i="10" s="1"/>
  <c r="L72" i="10"/>
  <c r="N16" i="13"/>
  <c r="H6" i="11"/>
  <c r="H7" i="11" s="1"/>
  <c r="H8" i="11" s="1"/>
  <c r="H12" i="11" s="1"/>
  <c r="H15" i="11" s="1"/>
  <c r="N54" i="8"/>
  <c r="I6" i="11"/>
  <c r="I7" i="11" s="1"/>
  <c r="I8" i="11" s="1"/>
  <c r="I12" i="11" s="1"/>
  <c r="I15" i="11" s="1"/>
  <c r="R35" i="11" s="1"/>
  <c r="O54" i="8"/>
  <c r="D25" i="10"/>
  <c r="D26" i="10"/>
  <c r="M24" i="10"/>
  <c r="M25" i="10" s="1"/>
  <c r="M72" i="10"/>
  <c r="Q24" i="10"/>
  <c r="Q25" i="10" s="1"/>
  <c r="M77" i="10"/>
  <c r="K6" i="11"/>
  <c r="K7" i="11" s="1"/>
  <c r="K8" i="11" s="1"/>
  <c r="K12" i="11" s="1"/>
  <c r="K15" i="11" s="1"/>
  <c r="Q54" i="8"/>
  <c r="Q16" i="13"/>
  <c r="T53" i="8"/>
  <c r="O11" i="13" s="1"/>
  <c r="O16" i="13"/>
  <c r="L6" i="11"/>
  <c r="L7" i="11" s="1"/>
  <c r="L8" i="11" s="1"/>
  <c r="L12" i="11" s="1"/>
  <c r="L15" i="11" s="1"/>
  <c r="R54" i="8"/>
  <c r="O6" i="11"/>
  <c r="O7" i="11" s="1"/>
  <c r="O8" i="11" s="1"/>
  <c r="O12" i="11" s="1"/>
  <c r="O15" i="11" s="1"/>
  <c r="U54" i="8"/>
  <c r="Q72" i="10"/>
  <c r="J77" i="10"/>
  <c r="P6" i="11"/>
  <c r="P7" i="11" s="1"/>
  <c r="P8" i="11" s="1"/>
  <c r="P12" i="11" s="1"/>
  <c r="F32" i="11" s="1"/>
  <c r="F33" i="11" s="1"/>
  <c r="J30" i="11" s="1"/>
  <c r="V54" i="8"/>
  <c r="J6" i="11"/>
  <c r="J7" i="11" s="1"/>
  <c r="J8" i="11" s="1"/>
  <c r="J12" i="11" s="1"/>
  <c r="J15" i="11" s="1"/>
  <c r="P54" i="8"/>
  <c r="J24" i="10"/>
  <c r="J25" i="10" s="1"/>
  <c r="K24" i="10"/>
  <c r="K25" i="10" s="1"/>
  <c r="J72" i="10"/>
  <c r="N72" i="10"/>
  <c r="K72" i="10"/>
  <c r="N6" i="11"/>
  <c r="N7" i="11" s="1"/>
  <c r="N8" i="11" s="1"/>
  <c r="N12" i="11" s="1"/>
  <c r="N15" i="11" s="1"/>
  <c r="T54" i="8"/>
  <c r="M6" i="11"/>
  <c r="M7" i="11" s="1"/>
  <c r="M8" i="11" s="1"/>
  <c r="M12" i="11" s="1"/>
  <c r="M15" i="11" s="1"/>
  <c r="S54" i="8"/>
  <c r="T158" i="8"/>
  <c r="T159" i="8" s="1"/>
  <c r="T150" i="8" s="1"/>
  <c r="N18" i="11"/>
  <c r="N23" i="11" s="1"/>
  <c r="N26" i="11" s="1"/>
  <c r="S158" i="8"/>
  <c r="S159" i="8" s="1"/>
  <c r="S150" i="8" s="1"/>
  <c r="M18" i="11"/>
  <c r="M23" i="11" s="1"/>
  <c r="M26" i="11" s="1"/>
  <c r="P158" i="8"/>
  <c r="P159" i="8" s="1"/>
  <c r="L92" i="10" s="1"/>
  <c r="L94" i="10" s="1"/>
  <c r="J18" i="11"/>
  <c r="J23" i="11" s="1"/>
  <c r="J26" i="11" s="1"/>
  <c r="R158" i="8"/>
  <c r="R159" i="8" s="1"/>
  <c r="N92" i="10" s="1"/>
  <c r="N94" i="10" s="1"/>
  <c r="L18" i="11"/>
  <c r="L23" i="11" s="1"/>
  <c r="L26" i="11" s="1"/>
  <c r="V158" i="8"/>
  <c r="V159" i="8" s="1"/>
  <c r="V150" i="8" s="1"/>
  <c r="P18" i="11"/>
  <c r="P23" i="11" s="1"/>
  <c r="P26" i="11" s="1"/>
  <c r="O76" i="10"/>
  <c r="O78" i="10" s="1"/>
  <c r="S130" i="8"/>
  <c r="V130" i="8"/>
  <c r="R76" i="10"/>
  <c r="R78" i="10" s="1"/>
  <c r="T130" i="8"/>
  <c r="P76" i="10"/>
  <c r="P78" i="10" s="1"/>
  <c r="V57" i="14" l="1"/>
  <c r="S57" i="14"/>
  <c r="T57" i="14"/>
  <c r="Q33" i="11"/>
  <c r="O31" i="11"/>
  <c r="Q39" i="11"/>
  <c r="Q52" i="8"/>
  <c r="L16" i="13" s="1"/>
  <c r="Q158" i="14"/>
  <c r="Q159" i="14" s="1"/>
  <c r="Q150" i="14" s="1"/>
  <c r="Q52" i="14"/>
  <c r="P130" i="8"/>
  <c r="L76" i="10" s="1"/>
  <c r="L78" i="10" s="1"/>
  <c r="P130" i="14"/>
  <c r="N33" i="11"/>
  <c r="O41" i="11"/>
  <c r="P32" i="11"/>
  <c r="P33" i="11"/>
  <c r="P34" i="11"/>
  <c r="P44" i="11"/>
  <c r="O36" i="11"/>
  <c r="N52" i="8"/>
  <c r="N52" i="14"/>
  <c r="N158" i="14"/>
  <c r="N159" i="14" s="1"/>
  <c r="N150" i="14" s="1"/>
  <c r="Q30" i="11"/>
  <c r="O35" i="11"/>
  <c r="P43" i="11"/>
  <c r="P52" i="8"/>
  <c r="K16" i="13" s="1"/>
  <c r="P158" i="14"/>
  <c r="P159" i="14" s="1"/>
  <c r="P150" i="14" s="1"/>
  <c r="P52" i="14"/>
  <c r="P36" i="11"/>
  <c r="R30" i="11"/>
  <c r="R38" i="11"/>
  <c r="O38" i="11"/>
  <c r="R52" i="8"/>
  <c r="R158" i="14"/>
  <c r="R159" i="14" s="1"/>
  <c r="R150" i="14" s="1"/>
  <c r="R52" i="14"/>
  <c r="S53" i="14" s="1"/>
  <c r="N37" i="11"/>
  <c r="R36" i="11"/>
  <c r="Q36" i="11"/>
  <c r="O37" i="11"/>
  <c r="Q76" i="10"/>
  <c r="Q78" i="10" s="1"/>
  <c r="U130" i="14"/>
  <c r="P38" i="11"/>
  <c r="P57" i="14"/>
  <c r="R130" i="8"/>
  <c r="N76" i="10" s="1"/>
  <c r="N78" i="10" s="1"/>
  <c r="R130" i="14"/>
  <c r="R33" i="11"/>
  <c r="N43" i="11"/>
  <c r="Q35" i="11"/>
  <c r="N130" i="8"/>
  <c r="J76" i="10" s="1"/>
  <c r="J78" i="10" s="1"/>
  <c r="N130" i="14"/>
  <c r="U52" i="8"/>
  <c r="V53" i="8" s="1"/>
  <c r="Q11" i="13" s="1"/>
  <c r="U52" i="14"/>
  <c r="U53" i="14" s="1"/>
  <c r="U158" i="14"/>
  <c r="U159" i="14" s="1"/>
  <c r="U150" i="14" s="1"/>
  <c r="N42" i="11"/>
  <c r="O130" i="8"/>
  <c r="K76" i="10" s="1"/>
  <c r="K78" i="10" s="1"/>
  <c r="O130" i="14"/>
  <c r="R34" i="11"/>
  <c r="P15" i="11"/>
  <c r="P39" i="11"/>
  <c r="N32" i="11"/>
  <c r="R44" i="11"/>
  <c r="N39" i="11"/>
  <c r="O52" i="8"/>
  <c r="P53" i="8" s="1"/>
  <c r="K11" i="13" s="1"/>
  <c r="O158" i="14"/>
  <c r="O159" i="14" s="1"/>
  <c r="O150" i="14" s="1"/>
  <c r="O52" i="14"/>
  <c r="Q130" i="8"/>
  <c r="M76" i="10" s="1"/>
  <c r="M78" i="10" s="1"/>
  <c r="Q130" i="14"/>
  <c r="Q57" i="14"/>
  <c r="P134" i="8"/>
  <c r="P135" i="8" s="1"/>
  <c r="R32" i="11"/>
  <c r="O33" i="11"/>
  <c r="I18" i="11"/>
  <c r="I23" i="11" s="1"/>
  <c r="I26" i="11" s="1"/>
  <c r="H18" i="11"/>
  <c r="H23" i="11" s="1"/>
  <c r="H26" i="11" s="1"/>
  <c r="N35" i="11"/>
  <c r="R39" i="11"/>
  <c r="O158" i="8"/>
  <c r="O159" i="8" s="1"/>
  <c r="K92" i="10" s="1"/>
  <c r="K94" i="10" s="1"/>
  <c r="Q40" i="11"/>
  <c r="R134" i="8"/>
  <c r="R135" i="8" s="1"/>
  <c r="O32" i="11"/>
  <c r="O42" i="11"/>
  <c r="O44" i="11"/>
  <c r="Q41" i="11"/>
  <c r="N38" i="11"/>
  <c r="N44" i="11"/>
  <c r="N41" i="11"/>
  <c r="Q43" i="11"/>
  <c r="N31" i="11"/>
  <c r="R43" i="11"/>
  <c r="R42" i="11"/>
  <c r="Q44" i="11"/>
  <c r="O30" i="11"/>
  <c r="O34" i="11"/>
  <c r="N34" i="11"/>
  <c r="R31" i="11"/>
  <c r="Q34" i="11"/>
  <c r="O18" i="11"/>
  <c r="O23" i="11" s="1"/>
  <c r="O26" i="11" s="1"/>
  <c r="Q37" i="11"/>
  <c r="R37" i="11"/>
  <c r="P35" i="11"/>
  <c r="Q53" i="8"/>
  <c r="L11" i="13" s="1"/>
  <c r="Q15" i="13"/>
  <c r="V55" i="8"/>
  <c r="Q10" i="13" s="1"/>
  <c r="V56" i="8"/>
  <c r="I15" i="13"/>
  <c r="N55" i="8"/>
  <c r="I10" i="13" s="1"/>
  <c r="N56" i="8"/>
  <c r="T55" i="8"/>
  <c r="O10" i="13" s="1"/>
  <c r="O15" i="13"/>
  <c r="T56" i="8"/>
  <c r="P16" i="13"/>
  <c r="U53" i="8"/>
  <c r="P11" i="13" s="1"/>
  <c r="U56" i="8"/>
  <c r="P15" i="13"/>
  <c r="U55" i="8"/>
  <c r="P10" i="13" s="1"/>
  <c r="K18" i="11"/>
  <c r="K23" i="11" s="1"/>
  <c r="K26" i="11" s="1"/>
  <c r="J16" i="13"/>
  <c r="O53" i="8"/>
  <c r="J11" i="13" s="1"/>
  <c r="Q158" i="8"/>
  <c r="Q159" i="8" s="1"/>
  <c r="M92" i="10" s="1"/>
  <c r="M94" i="10" s="1"/>
  <c r="U158" i="8"/>
  <c r="U159" i="8" s="1"/>
  <c r="Q92" i="10" s="1"/>
  <c r="Q94" i="10" s="1"/>
  <c r="Q97" i="10" s="1"/>
  <c r="L15" i="13"/>
  <c r="Q55" i="8"/>
  <c r="L10" i="13" s="1"/>
  <c r="Q56" i="8"/>
  <c r="H54" i="8"/>
  <c r="B6" i="11"/>
  <c r="O40" i="11"/>
  <c r="N40" i="11"/>
  <c r="Q38" i="11"/>
  <c r="H158" i="8"/>
  <c r="H160" i="8" s="1"/>
  <c r="H52" i="8"/>
  <c r="B18" i="11"/>
  <c r="B23" i="11" s="1"/>
  <c r="B26" i="11" s="1"/>
  <c r="U130" i="8"/>
  <c r="U134" i="8" s="1"/>
  <c r="U135" i="8" s="1"/>
  <c r="P31" i="11"/>
  <c r="Q32" i="11"/>
  <c r="N30" i="11"/>
  <c r="N158" i="8"/>
  <c r="N159" i="8" s="1"/>
  <c r="R41" i="11"/>
  <c r="O43" i="11"/>
  <c r="R40" i="11"/>
  <c r="P37" i="11"/>
  <c r="O39" i="11"/>
  <c r="K15" i="13"/>
  <c r="P55" i="8"/>
  <c r="K10" i="13" s="1"/>
  <c r="P56" i="8"/>
  <c r="J15" i="13"/>
  <c r="O55" i="8"/>
  <c r="J10" i="13" s="1"/>
  <c r="O56" i="8"/>
  <c r="R55" i="8"/>
  <c r="M10" i="13" s="1"/>
  <c r="R56" i="8"/>
  <c r="M15" i="13"/>
  <c r="I16" i="13"/>
  <c r="R53" i="8"/>
  <c r="M11" i="13" s="1"/>
  <c r="Q31" i="11"/>
  <c r="P30" i="11"/>
  <c r="N36" i="11"/>
  <c r="P42" i="11"/>
  <c r="Q42" i="11"/>
  <c r="P40" i="11"/>
  <c r="P41" i="11"/>
  <c r="N15" i="13"/>
  <c r="S55" i="8"/>
  <c r="N10" i="13" s="1"/>
  <c r="S56" i="8"/>
  <c r="P92" i="10"/>
  <c r="P94" i="10" s="1"/>
  <c r="P97" i="10" s="1"/>
  <c r="O150" i="8"/>
  <c r="O92" i="10"/>
  <c r="O94" i="10" s="1"/>
  <c r="O97" i="10" s="1"/>
  <c r="R92" i="10"/>
  <c r="R94" i="10" s="1"/>
  <c r="R97" i="10" s="1"/>
  <c r="P150" i="8"/>
  <c r="P153" i="8" s="1"/>
  <c r="R150" i="8"/>
  <c r="N97" i="10"/>
  <c r="V134" i="8"/>
  <c r="V135" i="8" s="1"/>
  <c r="V153" i="8" s="1"/>
  <c r="L97" i="10"/>
  <c r="T134" i="8"/>
  <c r="T135" i="8" s="1"/>
  <c r="T153" i="8" s="1"/>
  <c r="S134" i="8"/>
  <c r="S135" i="8" s="1"/>
  <c r="S153" i="8" s="1"/>
  <c r="K97" i="10"/>
  <c r="I72" i="10"/>
  <c r="I77" i="10"/>
  <c r="I24" i="10"/>
  <c r="J31" i="11" l="1"/>
  <c r="G11" i="1" s="1"/>
  <c r="N134" i="14"/>
  <c r="N135" i="14"/>
  <c r="U134" i="14"/>
  <c r="U135" i="14"/>
  <c r="P134" i="14"/>
  <c r="P135" i="14"/>
  <c r="M130" i="8"/>
  <c r="M130" i="14"/>
  <c r="R53" i="14"/>
  <c r="Q53" i="14"/>
  <c r="Q134" i="14"/>
  <c r="Q135" i="14" s="1"/>
  <c r="O134" i="14"/>
  <c r="O135" i="14" s="1"/>
  <c r="Q134" i="8"/>
  <c r="Q135" i="8" s="1"/>
  <c r="P53" i="14"/>
  <c r="O53" i="14"/>
  <c r="R134" i="14"/>
  <c r="R135" i="14"/>
  <c r="V53" i="14"/>
  <c r="R153" i="8"/>
  <c r="M97" i="10"/>
  <c r="O134" i="8"/>
  <c r="O135" i="8" s="1"/>
  <c r="O153" i="8" s="1"/>
  <c r="N134" i="8"/>
  <c r="N135" i="8" s="1"/>
  <c r="M16" i="13"/>
  <c r="S53" i="8"/>
  <c r="N11" i="13" s="1"/>
  <c r="U150" i="8"/>
  <c r="Q150" i="8"/>
  <c r="K23" i="13"/>
  <c r="K14" i="13"/>
  <c r="P57" i="8"/>
  <c r="K9" i="13" s="1"/>
  <c r="K24" i="13"/>
  <c r="B7" i="11"/>
  <c r="B8" i="11" s="1"/>
  <c r="B12" i="11" s="1"/>
  <c r="B15" i="11" s="1"/>
  <c r="C15" i="13"/>
  <c r="H56" i="8"/>
  <c r="C33" i="13"/>
  <c r="I55" i="8"/>
  <c r="D10" i="13" s="1"/>
  <c r="Q24" i="13"/>
  <c r="V57" i="8"/>
  <c r="Q9" i="13" s="1"/>
  <c r="Q14" i="13"/>
  <c r="Q23" i="13"/>
  <c r="M23" i="13"/>
  <c r="M24" i="13"/>
  <c r="R57" i="8"/>
  <c r="M9" i="13" s="1"/>
  <c r="M14" i="13"/>
  <c r="T57" i="8"/>
  <c r="O9" i="13" s="1"/>
  <c r="O14" i="13"/>
  <c r="O24" i="13"/>
  <c r="O23" i="13"/>
  <c r="L23" i="13"/>
  <c r="Q57" i="8"/>
  <c r="L9" i="13" s="1"/>
  <c r="L14" i="13"/>
  <c r="L24" i="13"/>
  <c r="C32" i="13"/>
  <c r="C16" i="13"/>
  <c r="C31" i="13"/>
  <c r="I53" i="8"/>
  <c r="D11" i="13" s="1"/>
  <c r="N14" i="13"/>
  <c r="N23" i="13"/>
  <c r="N24" i="13"/>
  <c r="S57" i="8"/>
  <c r="N9" i="13" s="1"/>
  <c r="J23" i="13"/>
  <c r="J24" i="13"/>
  <c r="O57" i="8"/>
  <c r="J9" i="13" s="1"/>
  <c r="J14" i="13"/>
  <c r="I24" i="13"/>
  <c r="I23" i="13"/>
  <c r="N57" i="8"/>
  <c r="I9" i="13" s="1"/>
  <c r="I14" i="13"/>
  <c r="P24" i="13"/>
  <c r="P14" i="13"/>
  <c r="U57" i="8"/>
  <c r="P9" i="13" s="1"/>
  <c r="P23" i="13"/>
  <c r="J92" i="10"/>
  <c r="J94" i="10" s="1"/>
  <c r="J97" i="10" s="1"/>
  <c r="N150" i="8"/>
  <c r="N153" i="8" s="1"/>
  <c r="U153" i="8"/>
  <c r="I76" i="10"/>
  <c r="M134" i="8"/>
  <c r="M135" i="8" s="1"/>
  <c r="I25" i="10"/>
  <c r="M52" i="8" l="1"/>
  <c r="M158" i="14"/>
  <c r="M52" i="14"/>
  <c r="M134" i="14"/>
  <c r="M135" i="14"/>
  <c r="Q153" i="8"/>
  <c r="J35" i="11"/>
  <c r="C24" i="13"/>
  <c r="C14" i="13"/>
  <c r="C23" i="13"/>
  <c r="I57" i="8"/>
  <c r="D9" i="13" s="1"/>
  <c r="H16" i="13"/>
  <c r="M53" i="8"/>
  <c r="H11" i="13" s="1"/>
  <c r="N53" i="8"/>
  <c r="I11" i="13" s="1"/>
  <c r="M158" i="8"/>
  <c r="M159" i="8" s="1"/>
  <c r="G18" i="11"/>
  <c r="G23" i="11" s="1"/>
  <c r="G26" i="11" s="1"/>
  <c r="I78" i="10"/>
  <c r="M53" i="14" l="1"/>
  <c r="N53" i="14"/>
  <c r="M159" i="14"/>
  <c r="M150" i="14" s="1"/>
  <c r="M161" i="14"/>
  <c r="N157" i="14" s="1"/>
  <c r="N161" i="14" s="1"/>
  <c r="O157" i="14" s="1"/>
  <c r="O161" i="14" s="1"/>
  <c r="P157" i="14" s="1"/>
  <c r="P161" i="14" s="1"/>
  <c r="Q157" i="14" s="1"/>
  <c r="Q161" i="14" s="1"/>
  <c r="R157" i="14" s="1"/>
  <c r="R161" i="14" s="1"/>
  <c r="S157" i="14" s="1"/>
  <c r="S161" i="14" s="1"/>
  <c r="T157" i="14" s="1"/>
  <c r="T161" i="14" s="1"/>
  <c r="U157" i="14" s="1"/>
  <c r="U161" i="14" s="1"/>
  <c r="V157" i="14" s="1"/>
  <c r="V161" i="14" s="1"/>
  <c r="J37" i="11"/>
  <c r="G12" i="1"/>
  <c r="M150" i="8"/>
  <c r="M153" i="8" s="1"/>
  <c r="M154" i="8" s="1"/>
  <c r="N129" i="8" s="1"/>
  <c r="N154" i="8" s="1"/>
  <c r="O129" i="8" s="1"/>
  <c r="O154" i="8" s="1"/>
  <c r="P129" i="8" s="1"/>
  <c r="P154" i="8" s="1"/>
  <c r="Q129" i="8" s="1"/>
  <c r="Q154" i="8" s="1"/>
  <c r="R129" i="8" s="1"/>
  <c r="R154" i="8" s="1"/>
  <c r="S129" i="8" s="1"/>
  <c r="S154" i="8" s="1"/>
  <c r="T129" i="8" s="1"/>
  <c r="T154" i="8" s="1"/>
  <c r="U129" i="8" s="1"/>
  <c r="U154" i="8" s="1"/>
  <c r="V129" i="8" s="1"/>
  <c r="V154" i="8" s="1"/>
  <c r="I92" i="10"/>
  <c r="I94" i="10" s="1"/>
  <c r="I97" i="10" s="1"/>
  <c r="I99" i="10" s="1"/>
  <c r="M161" i="8"/>
  <c r="H22" i="13" s="1"/>
  <c r="K29" i="1" l="1"/>
  <c r="J39" i="11"/>
  <c r="J7" i="1" s="1"/>
  <c r="F7" i="1"/>
  <c r="G61" i="12"/>
  <c r="N157" i="8"/>
  <c r="N161" i="8" s="1"/>
  <c r="I22" i="13" s="1"/>
  <c r="I49" i="10"/>
  <c r="I50" i="10" s="1"/>
  <c r="I52" i="10" s="1"/>
  <c r="J98" i="10"/>
  <c r="J99" i="10" s="1"/>
  <c r="I29" i="10"/>
  <c r="I35" i="10" l="1"/>
  <c r="H20" i="13"/>
  <c r="I66" i="10"/>
  <c r="H32" i="13"/>
  <c r="K98" i="10"/>
  <c r="K99" i="10" s="1"/>
  <c r="J29" i="10"/>
  <c r="O157" i="8"/>
  <c r="O161" i="8" s="1"/>
  <c r="J22" i="13" s="1"/>
  <c r="J49" i="10"/>
  <c r="J50" i="10" s="1"/>
  <c r="J52" i="10" s="1"/>
  <c r="J66" i="10" l="1"/>
  <c r="I32" i="13"/>
  <c r="J35" i="10"/>
  <c r="I20" i="13"/>
  <c r="I47" i="10"/>
  <c r="H19" i="13"/>
  <c r="H18" i="13"/>
  <c r="K49" i="10"/>
  <c r="K50" i="10" s="1"/>
  <c r="K52" i="10" s="1"/>
  <c r="P157" i="8"/>
  <c r="P161" i="8" s="1"/>
  <c r="K22" i="13" s="1"/>
  <c r="L98" i="10"/>
  <c r="L99" i="10" s="1"/>
  <c r="K29" i="10"/>
  <c r="K66" i="10" l="1"/>
  <c r="J32" i="13"/>
  <c r="H33" i="13"/>
  <c r="H31" i="13"/>
  <c r="I67" i="10"/>
  <c r="J47" i="10"/>
  <c r="I18" i="13"/>
  <c r="I19" i="13"/>
  <c r="K35" i="10"/>
  <c r="J20" i="13"/>
  <c r="M98" i="10"/>
  <c r="M99" i="10" s="1"/>
  <c r="L29" i="10"/>
  <c r="Q157" i="8"/>
  <c r="Q161" i="8" s="1"/>
  <c r="L22" i="13" s="1"/>
  <c r="L49" i="10"/>
  <c r="L50" i="10" s="1"/>
  <c r="L52" i="10" s="1"/>
  <c r="I31" i="13" l="1"/>
  <c r="I33" i="13"/>
  <c r="J67" i="10"/>
  <c r="J68" i="10" s="1"/>
  <c r="K47" i="10"/>
  <c r="J18" i="13"/>
  <c r="J19" i="13"/>
  <c r="L66" i="10"/>
  <c r="K32" i="13"/>
  <c r="L35" i="10"/>
  <c r="K20" i="13"/>
  <c r="M49" i="10"/>
  <c r="M50" i="10" s="1"/>
  <c r="M52" i="10" s="1"/>
  <c r="R157" i="8"/>
  <c r="R161" i="8" s="1"/>
  <c r="M22" i="13" s="1"/>
  <c r="N98" i="10"/>
  <c r="N99" i="10" s="1"/>
  <c r="M29" i="10"/>
  <c r="L47" i="10" l="1"/>
  <c r="K18" i="13"/>
  <c r="K19" i="13"/>
  <c r="M35" i="10"/>
  <c r="L20" i="13"/>
  <c r="J33" i="13"/>
  <c r="J31" i="13"/>
  <c r="K67" i="10"/>
  <c r="K68" i="10" s="1"/>
  <c r="M66" i="10"/>
  <c r="L32" i="13"/>
  <c r="O98" i="10"/>
  <c r="O99" i="10" s="1"/>
  <c r="N29" i="10"/>
  <c r="N49" i="10"/>
  <c r="N50" i="10" s="1"/>
  <c r="N52" i="10" s="1"/>
  <c r="S157" i="8"/>
  <c r="S161" i="8" s="1"/>
  <c r="N22" i="13" s="1"/>
  <c r="N66" i="10" l="1"/>
  <c r="M32" i="13"/>
  <c r="M47" i="10"/>
  <c r="L18" i="13"/>
  <c r="L19" i="13"/>
  <c r="N35" i="10"/>
  <c r="M20" i="13"/>
  <c r="K31" i="13"/>
  <c r="K33" i="13"/>
  <c r="L67" i="10"/>
  <c r="L68" i="10" s="1"/>
  <c r="O49" i="10"/>
  <c r="O50" i="10" s="1"/>
  <c r="O52" i="10" s="1"/>
  <c r="T157" i="8"/>
  <c r="T161" i="8" s="1"/>
  <c r="O22" i="13" s="1"/>
  <c r="O29" i="10"/>
  <c r="P98" i="10"/>
  <c r="P99" i="10" s="1"/>
  <c r="N47" i="10" l="1"/>
  <c r="M18" i="13"/>
  <c r="M19" i="13"/>
  <c r="O35" i="10"/>
  <c r="N20" i="13"/>
  <c r="L31" i="13"/>
  <c r="L33" i="13"/>
  <c r="M67" i="10"/>
  <c r="M68" i="10" s="1"/>
  <c r="O66" i="10"/>
  <c r="N32" i="13"/>
  <c r="U157" i="8"/>
  <c r="U161" i="8" s="1"/>
  <c r="P22" i="13" s="1"/>
  <c r="P49" i="10"/>
  <c r="P50" i="10" s="1"/>
  <c r="P52" i="10" s="1"/>
  <c r="P29" i="10"/>
  <c r="Q98" i="10"/>
  <c r="Q99" i="10" s="1"/>
  <c r="P35" i="10" l="1"/>
  <c r="O20" i="13"/>
  <c r="O47" i="10"/>
  <c r="N19" i="13"/>
  <c r="N18" i="13"/>
  <c r="P66" i="10"/>
  <c r="O32" i="13"/>
  <c r="M31" i="13"/>
  <c r="M33" i="13"/>
  <c r="N67" i="10"/>
  <c r="N68" i="10" s="1"/>
  <c r="Q29" i="10"/>
  <c r="R98" i="10"/>
  <c r="R99" i="10" s="1"/>
  <c r="R29" i="10" s="1"/>
  <c r="V157" i="8"/>
  <c r="V161" i="8" s="1"/>
  <c r="Q49" i="10"/>
  <c r="Q50" i="10" s="1"/>
  <c r="Q52" i="10" s="1"/>
  <c r="R49" i="10" l="1"/>
  <c r="R50" i="10" s="1"/>
  <c r="R52" i="10" s="1"/>
  <c r="Q22" i="13"/>
  <c r="R35" i="10"/>
  <c r="Q20" i="13"/>
  <c r="Q66" i="10"/>
  <c r="P32" i="13"/>
  <c r="N31" i="13"/>
  <c r="N33" i="13"/>
  <c r="O67" i="10"/>
  <c r="O68" i="10" s="1"/>
  <c r="Q35" i="10"/>
  <c r="P20" i="13"/>
  <c r="P47" i="10"/>
  <c r="O19" i="13"/>
  <c r="O18" i="13"/>
  <c r="Q47" i="10" l="1"/>
  <c r="P19" i="13"/>
  <c r="P18" i="13"/>
  <c r="R47" i="10"/>
  <c r="Q19" i="13"/>
  <c r="Q18" i="13"/>
  <c r="O31" i="13"/>
  <c r="O33" i="13"/>
  <c r="P67" i="10"/>
  <c r="P68" i="10" s="1"/>
  <c r="R66" i="10"/>
  <c r="Q32" i="13"/>
  <c r="Q31" i="13" l="1"/>
  <c r="Q33" i="13"/>
  <c r="R67" i="10"/>
  <c r="P31" i="13"/>
  <c r="P33" i="13"/>
  <c r="Q67" i="10"/>
  <c r="Q68" i="10" s="1"/>
  <c r="R68" i="10" l="1"/>
  <c r="M145" i="14" l="1"/>
  <c r="M153" i="14"/>
  <c r="M154" i="14" s="1"/>
  <c r="N129" i="14" s="1"/>
  <c r="N154" i="14" s="1"/>
  <c r="O129" i="14" s="1"/>
  <c r="O154" i="14" s="1"/>
  <c r="P129" i="14" s="1"/>
  <c r="P154" i="14" s="1"/>
  <c r="Q129" i="14" s="1"/>
  <c r="Q145" i="14"/>
  <c r="Q153" i="14" s="1"/>
  <c r="Q100" i="14"/>
  <c r="O145" i="14"/>
  <c r="O153" i="14" s="1"/>
  <c r="O100" i="14"/>
  <c r="U145" i="14"/>
  <c r="U153" i="14" s="1"/>
  <c r="U100" i="14"/>
  <c r="P145" i="14"/>
  <c r="P153" i="14" s="1"/>
  <c r="P100" i="14"/>
  <c r="R145" i="14"/>
  <c r="R153" i="14" s="1"/>
  <c r="R100" i="14"/>
  <c r="N145" i="14"/>
  <c r="N153" i="14" s="1"/>
  <c r="N100" i="14"/>
  <c r="T145" i="14"/>
  <c r="T153" i="14" s="1"/>
  <c r="T100" i="14"/>
  <c r="S145" i="14"/>
  <c r="S153" i="14" s="1"/>
  <c r="S100" i="14"/>
  <c r="V145" i="14"/>
  <c r="V153" i="14" s="1"/>
  <c r="V100" i="14"/>
  <c r="N99" i="14"/>
  <c r="N102" i="14" s="1"/>
  <c r="M100" i="14"/>
  <c r="M102" i="14"/>
  <c r="M104" i="14" s="1"/>
  <c r="M105" i="14"/>
  <c r="Q154" i="14" l="1"/>
  <c r="R129" i="14" s="1"/>
  <c r="R154" i="14" s="1"/>
  <c r="S129" i="14" s="1"/>
  <c r="S154" i="14" s="1"/>
  <c r="T129" i="14" s="1"/>
  <c r="T154" i="14" s="1"/>
  <c r="U129" i="14" s="1"/>
  <c r="U154" i="14" s="1"/>
  <c r="V129" i="14" s="1"/>
  <c r="V154" i="14" s="1"/>
  <c r="N104" i="14"/>
  <c r="N106" i="14"/>
  <c r="M106" i="14"/>
  <c r="M107" i="14" s="1"/>
  <c r="O99" i="14"/>
  <c r="O102" i="14" s="1"/>
  <c r="N105" i="14"/>
  <c r="N107" i="14" s="1"/>
  <c r="O106" i="14" l="1"/>
  <c r="O104" i="14"/>
  <c r="P99" i="14"/>
  <c r="P102" i="14" s="1"/>
  <c r="O105" i="14"/>
  <c r="P104" i="14" l="1"/>
  <c r="P106" i="14"/>
  <c r="Q99" i="14"/>
  <c r="Q102" i="14" s="1"/>
  <c r="P105" i="14"/>
  <c r="O107" i="14"/>
  <c r="R99" i="14" l="1"/>
  <c r="R102" i="14" s="1"/>
  <c r="Q104" i="14"/>
  <c r="Q106" i="14"/>
  <c r="Q105" i="14"/>
  <c r="P107" i="14"/>
  <c r="Q107" i="14" l="1"/>
  <c r="R104" i="14"/>
  <c r="S99" i="14"/>
  <c r="S102" i="14" s="1"/>
  <c r="R105" i="14"/>
  <c r="R106" i="14"/>
  <c r="S104" i="14" l="1"/>
  <c r="T99" i="14"/>
  <c r="T102" i="14" s="1"/>
  <c r="S105" i="14"/>
  <c r="S106" i="14"/>
  <c r="R107" i="14"/>
  <c r="T105" i="14" l="1"/>
  <c r="T104" i="14"/>
  <c r="U99" i="14"/>
  <c r="U102" i="14" s="1"/>
  <c r="T106" i="14"/>
  <c r="S107" i="14"/>
  <c r="U106" i="14" l="1"/>
  <c r="V99" i="14"/>
  <c r="V102" i="14" s="1"/>
  <c r="U105" i="14"/>
  <c r="U104" i="14"/>
  <c r="U107" i="14" s="1"/>
  <c r="T107" i="14"/>
  <c r="V106" i="14" l="1"/>
  <c r="V105" i="14"/>
  <c r="V104" i="14"/>
  <c r="V107"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Kuldeep</author>
  </authors>
  <commentList>
    <comment ref="A80" authorId="0" shapeId="0" xr:uid="{BDEA8DA3-A23D-084C-A79C-1B3218BBBF8E}">
      <text>
        <r>
          <rPr>
            <b/>
            <sz val="9"/>
            <color rgb="FF000000"/>
            <rFont val="Tahoma"/>
            <family val="2"/>
          </rPr>
          <t>SHUBH-</t>
        </r>
        <r>
          <rPr>
            <sz val="9"/>
            <color rgb="FF000000"/>
            <rFont val="Tahoma"/>
            <family val="2"/>
          </rPr>
          <t xml:space="preserve">
Throught the Payable calculation COGS is taken into account so forecasting will also take COGS for forecasting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Kuldeep</author>
  </authors>
  <commentList>
    <comment ref="A80" authorId="0" shapeId="0" xr:uid="{0F34A575-30C7-904A-8FBD-A9246B0025D1}">
      <text>
        <r>
          <rPr>
            <b/>
            <sz val="9"/>
            <color rgb="FF000000"/>
            <rFont val="Tahoma"/>
            <family val="2"/>
          </rPr>
          <t>SHUBH-</t>
        </r>
        <r>
          <rPr>
            <sz val="9"/>
            <color rgb="FF000000"/>
            <rFont val="Tahoma"/>
            <family val="2"/>
          </rPr>
          <t xml:space="preserve">
Throught the Payable calculation COGS is taken into account so forecasting will also take COGS for forecasting</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3"/>
        </ext>
      </extLst>
    </bk>
    <bk>
      <extLst>
        <ext uri="{3e2802c4-a4d2-4d8b-9148-e3be6c30e623}">
          <xlrd:rvb i="16"/>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<sst xmlns="http://schemas.openxmlformats.org/spreadsheetml/2006/main" count="1550" uniqueCount="572">
  <si>
    <t>Particulars</t>
  </si>
  <si>
    <t>Note</t>
  </si>
  <si>
    <t>FY2025</t>
  </si>
  <si>
    <t>FY2024</t>
  </si>
  <si>
    <t>FY2023</t>
  </si>
  <si>
    <t>FY2022</t>
  </si>
  <si>
    <t>FY2021</t>
  </si>
  <si>
    <t>Total Non-Current Assets</t>
  </si>
  <si>
    <t>Total Current Assets</t>
  </si>
  <si>
    <t>Non-controlling interests</t>
  </si>
  <si>
    <t>Total Equity</t>
  </si>
  <si>
    <t>Total Non-Current Liabilities</t>
  </si>
  <si>
    <t>Total Current Liabilities</t>
  </si>
  <si>
    <t>Property, plant and equipment</t>
  </si>
  <si>
    <t>Capital work-in-progress</t>
  </si>
  <si>
    <t>Intangible assets</t>
  </si>
  <si>
    <t>Goodwill on consolidation</t>
  </si>
  <si>
    <t>Investments</t>
  </si>
  <si>
    <t>Other financial assets</t>
  </si>
  <si>
    <t>Income tax assets (net)</t>
  </si>
  <si>
    <t>Deferred tax asset (net)</t>
  </si>
  <si>
    <t>Other non-current assets</t>
  </si>
  <si>
    <t>Total non-current assets</t>
  </si>
  <si>
    <t>Inventories</t>
  </si>
  <si>
    <t>Trade receivables</t>
  </si>
  <si>
    <t>Cash and cash equivalents</t>
  </si>
  <si>
    <t>Bank balances</t>
  </si>
  <si>
    <t>Other current assets</t>
  </si>
  <si>
    <t>Total current assets</t>
  </si>
  <si>
    <t>Assets held for sale</t>
  </si>
  <si>
    <t>Total assets</t>
  </si>
  <si>
    <t>Equity Share Capital</t>
  </si>
  <si>
    <t>Other Equity</t>
  </si>
  <si>
    <t>Equity attributable to owners of the parent</t>
  </si>
  <si>
    <t>—</t>
  </si>
  <si>
    <t>Non-controlling interests (NCI)</t>
  </si>
  <si>
    <t>Non-current Liabilities</t>
  </si>
  <si>
    <t>Borrowings</t>
  </si>
  <si>
    <t>Lease Liabilities</t>
  </si>
  <si>
    <t>Other Financial Liabilities</t>
  </si>
  <si>
    <t>Provisions</t>
  </si>
  <si>
    <t>Total Non-current Liabilities</t>
  </si>
  <si>
    <t>Current Liabilities</t>
  </si>
  <si>
    <t>Trade Payables — MSME</t>
  </si>
  <si>
    <t>Trade Payables — Others</t>
  </si>
  <si>
    <t>Other Current Liabilities</t>
  </si>
  <si>
    <t>Total Liabilities</t>
  </si>
  <si>
    <t>Total Equity &amp; Liabilities</t>
  </si>
  <si>
    <t>INCOME</t>
  </si>
  <si>
    <t>Revenue from contracts with customers (including excise duty)</t>
  </si>
  <si>
    <t>21/19/20</t>
  </si>
  <si>
    <t>Other income</t>
  </si>
  <si>
    <t>22/20/21</t>
  </si>
  <si>
    <t>Total Income</t>
  </si>
  <si>
    <t>EXPENSES</t>
  </si>
  <si>
    <t>Cost of materials consumed</t>
  </si>
  <si>
    <t>23/21/22</t>
  </si>
  <si>
    <t>Purchase of stock-in-trade / traded goods</t>
  </si>
  <si>
    <t>24/22/23</t>
  </si>
  <si>
    <t>Changes in inventories of finished goods, WIP and stock-in-trade</t>
  </si>
  <si>
    <t>25/23/24</t>
  </si>
  <si>
    <t>Excise duty on sale of goods/products</t>
  </si>
  <si>
    <t>Employee benefits expense</t>
  </si>
  <si>
    <t>26/24/25</t>
  </si>
  <si>
    <t>Contract employee expense</t>
  </si>
  <si>
    <t>Finance costs</t>
  </si>
  <si>
    <t>27/25/26</t>
  </si>
  <si>
    <t>Depreciation and amortisation expense</t>
  </si>
  <si>
    <t>28/26/27</t>
  </si>
  <si>
    <t>Other expenses</t>
  </si>
  <si>
    <t>29/27/28</t>
  </si>
  <si>
    <t>Total Expenses</t>
  </si>
  <si>
    <t>Profit before exceptional items and tax</t>
  </si>
  <si>
    <t>Exceptional items</t>
  </si>
  <si>
    <t>30/28/29</t>
  </si>
  <si>
    <t>Profit before tax</t>
  </si>
  <si>
    <t>Tax Expense</t>
  </si>
  <si>
    <t>Current tax</t>
  </si>
  <si>
    <t>31/29/30</t>
  </si>
  <si>
    <t>Deferred tax (credit)</t>
  </si>
  <si>
    <t>Total Tax Expense</t>
  </si>
  <si>
    <t>Profit for the year</t>
  </si>
  <si>
    <t>Other Comprehensive Income (OCI)</t>
  </si>
  <si>
    <t>Re-measurement gains/(losses) on defined benefit plans</t>
  </si>
  <si>
    <t>Income tax effect on above</t>
  </si>
  <si>
    <t>Total OCI</t>
  </si>
  <si>
    <t>Total Comprehensive Income</t>
  </si>
  <si>
    <t>Profit attributable to:</t>
  </si>
  <si>
    <t>Equity shareholders of the Holding Company</t>
  </si>
  <si>
    <t>Non-controlling interest</t>
  </si>
  <si>
    <t>Total Profit</t>
  </si>
  <si>
    <t>OCI attributable to:</t>
  </si>
  <si>
    <t>Total Comprehensive Income attributable to:</t>
  </si>
  <si>
    <t>Earnings Per Share (₹)</t>
  </si>
  <si>
    <t>Basic EPS</t>
  </si>
  <si>
    <t>32/30/31</t>
  </si>
  <si>
    <t>Diluted EPS</t>
  </si>
  <si>
    <t>Operating profits before working capital changes</t>
  </si>
  <si>
    <t>Cash generated from operations</t>
  </si>
  <si>
    <t>Direct taxes paid (net of refund)</t>
  </si>
  <si>
    <t>Cash and cash equivalents at beginning of year</t>
  </si>
  <si>
    <t>Cash and cash equivalents at end of year</t>
  </si>
  <si>
    <t>Revenue</t>
  </si>
  <si>
    <t>Forecast</t>
  </si>
  <si>
    <t>Other Income % of Revenue</t>
  </si>
  <si>
    <t>United Breweries Limited</t>
  </si>
  <si>
    <t>Period Start</t>
  </si>
  <si>
    <t>Period End</t>
  </si>
  <si>
    <t>Period Type</t>
  </si>
  <si>
    <t>Historical</t>
  </si>
  <si>
    <t>Timing</t>
  </si>
  <si>
    <t>Model Start Date</t>
  </si>
  <si>
    <t>Date</t>
  </si>
  <si>
    <t>Months in a period</t>
  </si>
  <si>
    <t>#</t>
  </si>
  <si>
    <t>Start of Forecast Period</t>
  </si>
  <si>
    <t>Number of Forecast Period</t>
  </si>
  <si>
    <t>Revenue from Contracts with Customers</t>
  </si>
  <si>
    <t>₹ Lakhs</t>
  </si>
  <si>
    <t>Revenue Growth Rate</t>
  </si>
  <si>
    <t>%</t>
  </si>
  <si>
    <t>Cost</t>
  </si>
  <si>
    <t>Cost of Sales</t>
  </si>
  <si>
    <t>Cost as % of Revenue</t>
  </si>
  <si>
    <t>% of Revenue</t>
  </si>
  <si>
    <t>Changes in inventories of finished goods, work-in-progress and stock-in-trade</t>
  </si>
  <si>
    <t>Changes in Inventories as % of Revenue</t>
  </si>
  <si>
    <t>Excise Duty as % of Revenue</t>
  </si>
  <si>
    <t>Employee Costs</t>
  </si>
  <si>
    <t>Employee Benefits Expense as % of Revenue</t>
  </si>
  <si>
    <t>Contract Employee Expense as % of Revenue</t>
  </si>
  <si>
    <t>Other Operating Expenses</t>
  </si>
  <si>
    <t>Other Expenses as % of Revenue</t>
  </si>
  <si>
    <t>Depreciation &amp; Amortisation</t>
  </si>
  <si>
    <t>D&amp;A as % of Revenue</t>
  </si>
  <si>
    <t>Working Capital</t>
  </si>
  <si>
    <t>Working Capital Assumptions</t>
  </si>
  <si>
    <t>Trade Receivables Days</t>
  </si>
  <si>
    <t>Days</t>
  </si>
  <si>
    <t>Inventory Days</t>
  </si>
  <si>
    <t>Trade Payables Days</t>
  </si>
  <si>
    <t>Capital Expenditure</t>
  </si>
  <si>
    <t>CAPEX</t>
  </si>
  <si>
    <t>CAPEX as % of Revenue</t>
  </si>
  <si>
    <t>Effective Tax Rate</t>
  </si>
  <si>
    <t>Debt</t>
  </si>
  <si>
    <t>Debt Assumptions</t>
  </si>
  <si>
    <t>WACC</t>
  </si>
  <si>
    <t>Cost of Equity</t>
  </si>
  <si>
    <t>Risk-Free Rate</t>
  </si>
  <si>
    <t>Beta</t>
  </si>
  <si>
    <t>x</t>
  </si>
  <si>
    <t>Market Risk Premium</t>
  </si>
  <si>
    <t>Tax Rate</t>
  </si>
  <si>
    <t>Terminal Value</t>
  </si>
  <si>
    <t>Terminal Growth</t>
  </si>
  <si>
    <t>Terminal Growth Rate</t>
  </si>
  <si>
    <t>Total Revenue</t>
  </si>
  <si>
    <t>Finance Cost</t>
  </si>
  <si>
    <t>Finacne cost as % of Revenue</t>
  </si>
  <si>
    <t>Assumptions and Forecasts</t>
  </si>
  <si>
    <t>Days in Period</t>
  </si>
  <si>
    <t>Accounts Receivable</t>
  </si>
  <si>
    <t>Beginning Balance</t>
  </si>
  <si>
    <t>Addition – Revenue from Contracts with Customers</t>
  </si>
  <si>
    <t>Reduction – Cash from Customers</t>
  </si>
  <si>
    <t>Ending Balance</t>
  </si>
  <si>
    <t>Addition – Purchases</t>
  </si>
  <si>
    <t>Reduction – Cost of Goods Sold</t>
  </si>
  <si>
    <t>Inventory</t>
  </si>
  <si>
    <t>Accounts Payable</t>
  </si>
  <si>
    <t>Reduction – Cash Paid to Suppliers</t>
  </si>
  <si>
    <t>Net Working Capital</t>
  </si>
  <si>
    <t>Trade Receivables</t>
  </si>
  <si>
    <t>Less: Trade Payables</t>
  </si>
  <si>
    <t>Change in Net Working Capital</t>
  </si>
  <si>
    <t>COGS</t>
  </si>
  <si>
    <t>Addition - COGS</t>
  </si>
  <si>
    <t>Balance Sheet</t>
  </si>
  <si>
    <t>Ending Net Fixed Assets</t>
  </si>
  <si>
    <t>Beginning Net Fixed Assets</t>
  </si>
  <si>
    <t>Addition - CAPEX</t>
  </si>
  <si>
    <t>Reduction – D&amp;A</t>
  </si>
  <si>
    <t>PPE</t>
  </si>
  <si>
    <t>CWIP</t>
  </si>
  <si>
    <t>Intangible Assets</t>
  </si>
  <si>
    <t>Total Net Fixed Assets</t>
  </si>
  <si>
    <t>Beginning Borrowings</t>
  </si>
  <si>
    <t>Addition – New Borrowings</t>
  </si>
  <si>
    <t>Reduction – Repayment</t>
  </si>
  <si>
    <t>Ending Borrowings</t>
  </si>
  <si>
    <t>Beginning Lease Liabilities</t>
  </si>
  <si>
    <t>Addition – New Lease Liabilities</t>
  </si>
  <si>
    <t>Reduction – Lease Payments</t>
  </si>
  <si>
    <t>Ending Lease Liabilities</t>
  </si>
  <si>
    <t>Total Debt &amp; Lease Liabilities</t>
  </si>
  <si>
    <t>Other / Non-cash Changes</t>
  </si>
  <si>
    <t>01-Apr-20</t>
  </si>
  <si>
    <t>01-Apr-25</t>
  </si>
  <si>
    <t>Other Income</t>
  </si>
  <si>
    <t>Cost of Materials Consumed</t>
  </si>
  <si>
    <t>Cost of Materials % of Revenue</t>
  </si>
  <si>
    <t>Purchase of Stock-in-Trade / Traded Goods</t>
  </si>
  <si>
    <t>Purchases % of Revenue</t>
  </si>
  <si>
    <t>Changes in Inventories</t>
  </si>
  <si>
    <t>Changes in Inventories % of Revenue</t>
  </si>
  <si>
    <t>Excise Duty on Sale of Goods/Products</t>
  </si>
  <si>
    <t>Excise Duty % of Revenue</t>
  </si>
  <si>
    <t>COGS % of Revenue</t>
  </si>
  <si>
    <t>Employee Benefits Expense</t>
  </si>
  <si>
    <t>Employee Benefits % of Revenue</t>
  </si>
  <si>
    <t>Contract Employee Expense</t>
  </si>
  <si>
    <t>Contract Employee % of Revenue</t>
  </si>
  <si>
    <t>Other Expenses</t>
  </si>
  <si>
    <t>Other Expenses % of Revenue</t>
  </si>
  <si>
    <t>Finance Cost % of Revenue</t>
  </si>
  <si>
    <t>D&amp;A % of Revenue</t>
  </si>
  <si>
    <t>Trade Receivable Days</t>
  </si>
  <si>
    <t>Trade Payable Days</t>
  </si>
  <si>
    <t>CAPEX % of Revenue</t>
  </si>
  <si>
    <t>Valuation Assumptions</t>
  </si>
  <si>
    <t>Equity Risk Premium</t>
  </si>
  <si>
    <t>Colour Key</t>
  </si>
  <si>
    <t>Blue font</t>
  </si>
  <si>
    <t>Linked / historical values</t>
  </si>
  <si>
    <t>Blue font + yellow cell</t>
  </si>
  <si>
    <t>Forecast assumption / editable input</t>
  </si>
  <si>
    <t>Black font</t>
  </si>
  <si>
    <t>Formula / calculated value</t>
  </si>
  <si>
    <t>Forecast based on recent historical growth trend, with gradual normalization toward a steady-state growth rate.</t>
  </si>
  <si>
    <t>Excise duty is an indirect tax/levy on sales rather than a core operating cost incurred to produce the product; therefore, it is presented separately and excluded from COGS.</t>
  </si>
  <si>
    <t>CASH FLOW FROM OPERATING ACTIVITIES</t>
  </si>
  <si>
    <t>Bad debts/advances written off</t>
  </si>
  <si>
    <t>Loss allowance for trade receivables</t>
  </si>
  <si>
    <t>Provision for doubtful advances/deposits</t>
  </si>
  <si>
    <t>Unrealised exchange differences (net)</t>
  </si>
  <si>
    <t>Net gain on disposal of PPE</t>
  </si>
  <si>
    <t>Profit on sale of investments</t>
  </si>
  <si>
    <t>Liabilities no longer required written back</t>
  </si>
  <si>
    <t>Loss allowance no longer required written back</t>
  </si>
  <si>
    <t>Impairment loss on PPE</t>
  </si>
  <si>
    <t>Impairment loss on goodwill</t>
  </si>
  <si>
    <t>Gain on sale of PPE under exceptional items</t>
  </si>
  <si>
    <t>Interest expense</t>
  </si>
  <si>
    <t>Interest income</t>
  </si>
  <si>
    <t>(Increase)/decrease in inventories</t>
  </si>
  <si>
    <t>(Increase)/decrease in trade receivables</t>
  </si>
  <si>
    <t>(Increase)/decrease in other financial assets</t>
  </si>
  <si>
    <t>(Increase)/decrease in other assets</t>
  </si>
  <si>
    <t>Increase/(decrease) in trade payables</t>
  </si>
  <si>
    <t>Increase/(decrease) in other financial liabilities</t>
  </si>
  <si>
    <t>Increase/(decrease) in other current liabilities and provisions</t>
  </si>
  <si>
    <t>Net cash from/(used in) operating activities</t>
  </si>
  <si>
    <t>CASH FLOW FROM INVESTING ACTIVITIES</t>
  </si>
  <si>
    <t>Purchase of PPE including CWIP, intangible assets and capital advances</t>
  </si>
  <si>
    <t>Proceeds from sale of PPE</t>
  </si>
  <si>
    <t>Investments in equity and debt securities</t>
  </si>
  <si>
    <t>Proceeds from sale of equity and debt securities</t>
  </si>
  <si>
    <t>Investments in bank deposits &gt;3 months</t>
  </si>
  <si>
    <t>Redemption/maturity of bank deposits &gt;3 months</t>
  </si>
  <si>
    <t>Interest received</t>
  </si>
  <si>
    <t>Net cash used in investing activities</t>
  </si>
  <si>
    <t>CASH FLOW FROM FINANCING ACTIVITIES</t>
  </si>
  <si>
    <t>Proceeds from long-term borrowings</t>
  </si>
  <si>
    <t>Repayment of long-term borrowings</t>
  </si>
  <si>
    <t>Repayment of principal portion of lease liabilities</t>
  </si>
  <si>
    <t>(Repayment of)/proceeds from short-term borrowings</t>
  </si>
  <si>
    <t>Interest paid</t>
  </si>
  <si>
    <t>Dividend paid</t>
  </si>
  <si>
    <t>Dividend distribution tax paid</t>
  </si>
  <si>
    <t>Net cash from/(used in) financing activities</t>
  </si>
  <si>
    <t>Net increase/(decrease) in cash and cash equivalents</t>
  </si>
  <si>
    <t>Debt Drawdown</t>
  </si>
  <si>
    <t>Scheduled Repayment</t>
  </si>
  <si>
    <t>Interest Rate</t>
  </si>
  <si>
    <t>Annual Report- Balance Sheet Consolidated</t>
  </si>
  <si>
    <t>Annual Report- Income Statement Consolidated</t>
  </si>
  <si>
    <t>Annual Report- Cash Flow Consolidated</t>
  </si>
  <si>
    <t>For the forecast period, I have assumed no incremental debt drawdown or scheduled repayment because UBL's available disclosures do not provide a fixed 10-year borrowing or repayment schedule. Rather than arbitrarily forecasting new debt or repayments, I have kept these at zero and carried forward the existing debt balance. This keeps the DCF assumption conservative and avoids introducing an unsupported financing assumption.</t>
  </si>
  <si>
    <t>NOTE</t>
  </si>
  <si>
    <t>Unit</t>
  </si>
  <si>
    <t>FY2026</t>
  </si>
  <si>
    <t>FY2027</t>
  </si>
  <si>
    <t>FY2028</t>
  </si>
  <si>
    <t>FY2029</t>
  </si>
  <si>
    <t>FY2030</t>
  </si>
  <si>
    <t>FY2031</t>
  </si>
  <si>
    <t>FY2032</t>
  </si>
  <si>
    <t>FY2033</t>
  </si>
  <si>
    <t>FY2034</t>
  </si>
  <si>
    <t>FY2035</t>
  </si>
  <si>
    <t>Profit &amp; Loss Statement</t>
  </si>
  <si>
    <t>Changes in inventories</t>
  </si>
  <si>
    <t>Total tax expense</t>
  </si>
  <si>
    <t>Total Assets</t>
  </si>
  <si>
    <t>Current Borrowings</t>
  </si>
  <si>
    <t>Current Lease Liabilities</t>
  </si>
  <si>
    <t>Trade Payables</t>
  </si>
  <si>
    <t>Current Provisions</t>
  </si>
  <si>
    <t>Cash Flow Statement</t>
  </si>
  <si>
    <t>Change in working capital</t>
  </si>
  <si>
    <t>Direct taxes paid</t>
  </si>
  <si>
    <t>Net Cash Flow from Operating Activities</t>
  </si>
  <si>
    <t>Net Cash Flow from Investing Activities</t>
  </si>
  <si>
    <t>Net Cash Flow from Financing Activities</t>
  </si>
  <si>
    <t>Net Increase / (Decrease) in Cash</t>
  </si>
  <si>
    <t>Beginning Cash Balance</t>
  </si>
  <si>
    <t>Ending Cash Balance</t>
  </si>
  <si>
    <t>Financial Statements Forecasts</t>
  </si>
  <si>
    <t>Cash &amp; Cash Equivalents</t>
  </si>
  <si>
    <t>Cash Flow from Operating Activities</t>
  </si>
  <si>
    <t>Other Investing Cash Flows</t>
  </si>
  <si>
    <t>Borrowing / (Repayment)</t>
  </si>
  <si>
    <t>Dividend Payment</t>
  </si>
  <si>
    <t>Other Financing Cash Flows</t>
  </si>
  <si>
    <t>Net Change in Cash</t>
  </si>
  <si>
    <t>Equity</t>
  </si>
  <si>
    <t>Beginning Other Equity</t>
  </si>
  <si>
    <t>Profit for the Year</t>
  </si>
  <si>
    <t>Dividend</t>
  </si>
  <si>
    <t>Other Changes in Equity</t>
  </si>
  <si>
    <t>Ending Other Equity</t>
  </si>
  <si>
    <t>Working</t>
  </si>
  <si>
    <t>Debt Drawdown / (Repayment)</t>
  </si>
  <si>
    <t>Lease Payments</t>
  </si>
  <si>
    <t>Dividends Paid</t>
  </si>
  <si>
    <t>Other operating adjustments</t>
  </si>
  <si>
    <t>Profit Before Tax</t>
  </si>
  <si>
    <t>Other Operating Adjustments</t>
  </si>
  <si>
    <t>Change in Working Capital</t>
  </si>
  <si>
    <t>Direct Taxes Paid</t>
  </si>
  <si>
    <t>Impairment loss on goodwill / investments</t>
  </si>
  <si>
    <t>Gain / (loss) on disposal of PPE under exceptional items</t>
  </si>
  <si>
    <t>Discounted Cash Flow Analysis</t>
  </si>
  <si>
    <t>Calculation of PV of FCFF</t>
  </si>
  <si>
    <t>EBIT</t>
  </si>
  <si>
    <t>EBIT (1-Tax)</t>
  </si>
  <si>
    <t>Add: D&amp;A</t>
  </si>
  <si>
    <t>Less: CAPEX</t>
  </si>
  <si>
    <t>Less: Change in NWC</t>
  </si>
  <si>
    <t>Free Cash Flow to Firm (FCFF)</t>
  </si>
  <si>
    <t>Mid-Year Convention</t>
  </si>
  <si>
    <t>Discounting Factor</t>
  </si>
  <si>
    <t>PV of FCFF</t>
  </si>
  <si>
    <t>DCF Assumptions</t>
  </si>
  <si>
    <t>Calculation of Terminal Value</t>
  </si>
  <si>
    <t>Expected Growth</t>
  </si>
  <si>
    <t>FCFF (n)</t>
  </si>
  <si>
    <t>FCFF (n+1)</t>
  </si>
  <si>
    <t>Calculation of Equity Value Per Share</t>
  </si>
  <si>
    <t>Sensitivity Analysis - Value of Operating Assets</t>
  </si>
  <si>
    <t>WACC / Terminal Growth</t>
  </si>
  <si>
    <t>PV of Terminal Value</t>
  </si>
  <si>
    <t>Add: Cash</t>
  </si>
  <si>
    <t>Add: Investments</t>
  </si>
  <si>
    <t>Less: Debt</t>
  </si>
  <si>
    <t>Value of Equity</t>
  </si>
  <si>
    <t>No. of Shares</t>
  </si>
  <si>
    <t>Equity Value Per Share</t>
  </si>
  <si>
    <t>Current Share Price</t>
  </si>
  <si>
    <t>Discount / Premium</t>
  </si>
  <si>
    <t>All figures in ₹ Lakhs except per-share data, percentages and multiples.</t>
  </si>
  <si>
    <t>FY2023 H</t>
  </si>
  <si>
    <t>FY2024 H</t>
  </si>
  <si>
    <t>FY2021 H</t>
  </si>
  <si>
    <t>FY2025 H</t>
  </si>
  <si>
    <t>FY2022` H</t>
  </si>
  <si>
    <t>WACC CALCULATION</t>
  </si>
  <si>
    <t xml:space="preserve">Risk-Free Rate                         </t>
  </si>
  <si>
    <t xml:space="preserve">Market Risk Premium                    </t>
  </si>
  <si>
    <t xml:space="preserve">Cost of Equity                         </t>
  </si>
  <si>
    <t xml:space="preserve">Pre-Tax Cost of Debt                   </t>
  </si>
  <si>
    <t xml:space="preserve">Tax Rate                               </t>
  </si>
  <si>
    <t xml:space="preserve">After-Tax Cost of Debt                 </t>
  </si>
  <si>
    <t xml:space="preserve">Equity Weight                          </t>
  </si>
  <si>
    <t xml:space="preserve">Debt Weight                            </t>
  </si>
  <si>
    <t xml:space="preserve">WACC                                    </t>
  </si>
  <si>
    <t xml:space="preserve">Market Value of Debt               </t>
  </si>
  <si>
    <t xml:space="preserve">Total Capital                      </t>
  </si>
  <si>
    <t xml:space="preserve">Market Value of Equity             </t>
  </si>
  <si>
    <t xml:space="preserve">Beta                                   </t>
  </si>
  <si>
    <t>FCFE Valuation</t>
  </si>
  <si>
    <t>Net Income</t>
  </si>
  <si>
    <t>FCFE</t>
  </si>
  <si>
    <t>+ Depreciation &amp; Amortisation</t>
  </si>
  <si>
    <t>- Capital Expenditure</t>
  </si>
  <si>
    <t>- Change in Working Capital</t>
  </si>
  <si>
    <t>+ Net Borrowing</t>
  </si>
  <si>
    <t>EV</t>
  </si>
  <si>
    <t>Comparable Company Analysis</t>
  </si>
  <si>
    <t>Market Data Date</t>
  </si>
  <si>
    <t>Financial Year</t>
  </si>
  <si>
    <t>FY2025A</t>
  </si>
  <si>
    <t>Currency</t>
  </si>
  <si>
    <t>A. Peer Selection</t>
  </si>
  <si>
    <t>Company</t>
  </si>
  <si>
    <t>Business</t>
  </si>
  <si>
    <t>Reason for Inclusion</t>
  </si>
  <si>
    <t>United Breweries Ltd.</t>
  </si>
  <si>
    <t>Beer / Alcoholic Beverages</t>
  </si>
  <si>
    <t>Target company</t>
  </si>
  <si>
    <t>United Spirits Ltd.</t>
  </si>
  <si>
    <t>Spirits / Alcoholic Beverages</t>
  </si>
  <si>
    <t>Listed Indian alcoholic-beverage peer</t>
  </si>
  <si>
    <t>Radico Khaitan Ltd.</t>
  </si>
  <si>
    <t>Globus Spirits Ltd.</t>
  </si>
  <si>
    <t>Allied Blenders &amp; Distillers Ltd.</t>
  </si>
  <si>
    <t>Som Distilleries &amp; Breweries Ltd.</t>
  </si>
  <si>
    <t>Beer &amp; Spirits</t>
  </si>
  <si>
    <t>Listed company with beer exposure</t>
  </si>
  <si>
    <t>Peer Selection Note</t>
  </si>
  <si>
    <t>UBL operates primarily in beer. Because directly comparable listed Indian beer peers are limited, the peer set includes alcoholic-beverage companies with differences in product mix, scale and profitability. Multiples should be interpreted accordingly.</t>
  </si>
  <si>
    <t>B. Market &amp; Financial Data</t>
  </si>
  <si>
    <t>₹ Cr except per-share data</t>
  </si>
  <si>
    <t>UBL</t>
  </si>
  <si>
    <t>United Spirits</t>
  </si>
  <si>
    <t>Radico Khaitan</t>
  </si>
  <si>
    <t>Globus Spirits</t>
  </si>
  <si>
    <t>Allied Blenders</t>
  </si>
  <si>
    <t>Som Distilleries</t>
  </si>
  <si>
    <t>Share Price</t>
  </si>
  <si>
    <t>Market Capitalization</t>
  </si>
  <si>
    <t>Total Debt</t>
  </si>
  <si>
    <t>Net Debt</t>
  </si>
  <si>
    <t>Enterprise Value</t>
  </si>
  <si>
    <t>EBITDA</t>
  </si>
  <si>
    <t>PAT</t>
  </si>
  <si>
    <t>C. Trading Multiples</t>
  </si>
  <si>
    <t>Multiple</t>
  </si>
  <si>
    <t>EV / Revenue</t>
  </si>
  <si>
    <t>EV / EBITDA</t>
  </si>
  <si>
    <t>EV / EBIT</t>
  </si>
  <si>
    <t>P / E</t>
  </si>
  <si>
    <t>D. Peer Statistics</t>
  </si>
  <si>
    <t>Statistic</t>
  </si>
  <si>
    <t>Mean</t>
  </si>
  <si>
    <t>Median</t>
  </si>
  <si>
    <t>Minimum</t>
  </si>
  <si>
    <t>Maximum</t>
  </si>
  <si>
    <t>E. Implied Valuation of UBL</t>
  </si>
  <si>
    <t>Method</t>
  </si>
  <si>
    <t>UBL Metric</t>
  </si>
  <si>
    <t>Peer Median Multiple</t>
  </si>
  <si>
    <t>Implied EV</t>
  </si>
  <si>
    <t>Implied Equity Value</t>
  </si>
  <si>
    <t>Implied Value / Share</t>
  </si>
  <si>
    <t>N/A</t>
  </si>
  <si>
    <t>F. Valuation Summary</t>
  </si>
  <si>
    <t>Valuation Method</t>
  </si>
  <si>
    <t>Reference</t>
  </si>
  <si>
    <t>DCF</t>
  </si>
  <si>
    <t>Primary DCF valuation</t>
  </si>
  <si>
    <t>Peer median multiple</t>
  </si>
  <si>
    <t>Shares Outstanding (Lakhs)</t>
  </si>
  <si>
    <t>Ratio Analysis</t>
  </si>
  <si>
    <t>Historical Performance &amp; Forecast Ratio Analysis</t>
  </si>
  <si>
    <t>Historical Period</t>
  </si>
  <si>
    <t>Forecast Period</t>
  </si>
  <si>
    <t>Model Notes</t>
  </si>
  <si>
    <t>Ratio</t>
  </si>
  <si>
    <t>FY2021A</t>
  </si>
  <si>
    <t>FY2022A</t>
  </si>
  <si>
    <t>FY2023A</t>
  </si>
  <si>
    <t>FY2024A</t>
  </si>
  <si>
    <t>FY2026E</t>
  </si>
  <si>
    <t>FY2027E</t>
  </si>
  <si>
    <t>FY2028E</t>
  </si>
  <si>
    <t>FY2029E</t>
  </si>
  <si>
    <t>FY2030E</t>
  </si>
  <si>
    <t>FY2031E</t>
  </si>
  <si>
    <t>FY2032E</t>
  </si>
  <si>
    <t>FY2033E</t>
  </si>
  <si>
    <t>FY2034E</t>
  </si>
  <si>
    <t>FY2035E</t>
  </si>
  <si>
    <t>Interpretation / Driver</t>
  </si>
  <si>
    <t>A. GROWTH RATIOS</t>
  </si>
  <si>
    <t>Revenue Growth</t>
  </si>
  <si>
    <t>EBITDA Growth</t>
  </si>
  <si>
    <t>EBIT Growth</t>
  </si>
  <si>
    <t>PAT Growth</t>
  </si>
  <si>
    <t>B. PROFITABILITY RATIOS</t>
  </si>
  <si>
    <t>Gross Margin</t>
  </si>
  <si>
    <t>EBITDA Margin</t>
  </si>
  <si>
    <t>EBIT Margin</t>
  </si>
  <si>
    <t>PAT Margin</t>
  </si>
  <si>
    <t>C. LIQUIDITY RATIOS</t>
  </si>
  <si>
    <t>Current Ratio</t>
  </si>
  <si>
    <t>Quick Ratio</t>
  </si>
  <si>
    <t>Cash Ratio</t>
  </si>
  <si>
    <t>D. LEVERAGE &amp; COVERAGE</t>
  </si>
  <si>
    <t>Debt / Equity</t>
  </si>
  <si>
    <t>Net Debt / EBITDA</t>
  </si>
  <si>
    <t>Interest Coverage</t>
  </si>
  <si>
    <t>E. EFFICIENCY / WORKING CAPITAL</t>
  </si>
  <si>
    <t>Receivable Days</t>
  </si>
  <si>
    <t>Payable Days</t>
  </si>
  <si>
    <t>Cash Conversion Cycle</t>
  </si>
  <si>
    <t>F. RETURN RATIOS</t>
  </si>
  <si>
    <t>ROA</t>
  </si>
  <si>
    <t>ROE</t>
  </si>
  <si>
    <t>ROCE</t>
  </si>
  <si>
    <r>
      <t xml:space="preserve">Revenue growth accelerated with volume recovery, pricing and favourable state mix; UBL reported </t>
    </r>
    <r>
      <rPr>
        <b/>
        <sz val="12"/>
        <rFont val="Aptos Narrow"/>
        <family val="2"/>
        <scheme val="minor"/>
      </rPr>
      <t>6% volume growth and 10% net-sales growth in FY2025.</t>
    </r>
  </si>
  <si>
    <r>
      <t xml:space="preserve">EBITDA growth reflects higher sales, premiumisation and operating efficiencies; UBL reported </t>
    </r>
    <r>
      <rPr>
        <b/>
        <sz val="12"/>
        <rFont val="Aptos Narrow"/>
        <family val="2"/>
        <scheme val="minor"/>
      </rPr>
      <t>~32% premium-segment growth and cited revenue-management and cost initiatives.</t>
    </r>
  </si>
  <si>
    <r>
      <t xml:space="preserve">EBIT growth strengthens as revenue growth combines with better gross margins and operating-cost control; UBL reported </t>
    </r>
    <r>
      <rPr>
        <b/>
        <sz val="12"/>
        <rFont val="Aptos Narrow"/>
        <family val="2"/>
        <scheme val="minor"/>
      </rPr>
      <t>EBIT improvement of 35 bps in FY2025.</t>
    </r>
  </si>
  <si>
    <r>
      <t xml:space="preserve">PAT growth reflects improved operating profitability flowing through to earnings, although the growth rate normalises as the earnings base becomes larger. UBL's PAT increased to </t>
    </r>
    <r>
      <rPr>
        <b/>
        <sz val="12"/>
        <rFont val="Aptos Narrow"/>
        <family val="2"/>
        <scheme val="minor"/>
      </rPr>
      <t>₹441 crore in FY2025 from ₹409 crore</t>
    </r>
  </si>
  <si>
    <r>
      <t xml:space="preserve">Margin expansion is supported by pricing, state mix, revenue management and cost initiatives; UBL reported </t>
    </r>
    <r>
      <rPr>
        <b/>
        <sz val="12"/>
        <rFont val="Aptos Narrow"/>
        <family val="2"/>
        <scheme val="minor"/>
      </rPr>
      <t>~44 bps gross-margin improvement in FY2025.</t>
    </r>
  </si>
  <si>
    <r>
      <t xml:space="preserve">EBITDA margin improves as premiumisation and operating efficiencies provide better operating leverage; UBL reported EBITDA margin rising to </t>
    </r>
    <r>
      <rPr>
        <b/>
        <sz val="12"/>
        <rFont val="Aptos Narrow"/>
        <family val="2"/>
        <scheme val="minor"/>
      </rPr>
      <t>9.8% in FY2025.</t>
    </r>
  </si>
  <si>
    <r>
      <t xml:space="preserve">EBIT margin expands as gross-margin gains and cost efficiencies flow through after depreciation; UBL reported </t>
    </r>
    <r>
      <rPr>
        <b/>
        <sz val="12"/>
        <rFont val="Aptos Narrow"/>
        <family val="2"/>
        <scheme val="minor"/>
      </rPr>
      <t>35 bps EBIT improvement in FY2025.</t>
    </r>
  </si>
  <si>
    <t>Liquidity remains comfortable in the forecast as current assets grow faster than current liabilities; the model reflects increasing cash generation and limited financial leverage.</t>
  </si>
  <si>
    <t>Quick liquidity improves steadily as cash and receivables increase relative to current liabilities, reducing dependence on inventory for short-term obligations.</t>
  </si>
  <si>
    <t>The sharp forecast improvement reflects increasing cash balances alongside relatively low debt requirements in the model.</t>
  </si>
  <si>
    <t>Leverage remains low because the forecast assumes limited incremental borrowing relative to growing equity; UBL's FY2025 reported ROE/ROCE remained supported despite a relatively low debt base.</t>
  </si>
  <si>
    <t>Net leverage declines as EBITDA and cash generation grow faster than debt; this indicates increasing debt-servicing capacity in the forecast.</t>
  </si>
  <si>
    <t>Coverage rises sharply because EBIT grows while finance costs remain relatively small; UBL's FY2025 annual report also shows strong debt-service capacity.</t>
  </si>
  <si>
    <t>Payable days remain elevated in the forecast as supplier credit continues to support working-capital requirements and partially offsets inventory and receivable funding needs.</t>
  </si>
  <si>
    <t>CCC increases in the forecast because inventory days remain elevated while receivable days stay above historical pre-FY2025 levels; the model therefore assumes continued working-capital investment.</t>
  </si>
  <si>
    <t>ROA improves as forecast earnings grow faster than the asset base, supported by higher margins and operating leverage.</t>
  </si>
  <si>
    <t>PAT margin remained broadly stable at 2.2%–2.3% in FY2024–FY2025 as improved operating profitability was partly offset by tax and other expenses</t>
  </si>
  <si>
    <t>DCF VALUATION &amp; FINANCIAL ANALYSIS DASHBOARD</t>
  </si>
  <si>
    <t>DCF Value / Share</t>
  </si>
  <si>
    <t>Discount / (Premium)</t>
  </si>
  <si>
    <t>MODEL NAVIGATION</t>
  </si>
  <si>
    <t>VALUATION SNAPSHOT</t>
  </si>
  <si>
    <t>KEY DCF ASSUMPTIONS</t>
  </si>
  <si>
    <t>Financial Statements</t>
  </si>
  <si>
    <t>Enterprise / Operating Assets</t>
  </si>
  <si>
    <t>Income Statement</t>
  </si>
  <si>
    <t>Cash Flow</t>
  </si>
  <si>
    <t>Equity Value</t>
  </si>
  <si>
    <t>Valuation</t>
  </si>
  <si>
    <t>Shares Outstanding</t>
  </si>
  <si>
    <t>WORKING CAPITAL EFFICIENCY</t>
  </si>
  <si>
    <t>FILL THE INPUT TABLES BELOW WITH YOUR FINAL HISTORICAL + FORECAST VALUES. THE CHARTS ABOVE WILL UPDATE AUTOMATICALLY.</t>
  </si>
  <si>
    <t>Revenue &amp; EBITDA Trend</t>
  </si>
  <si>
    <t>PROFITABILITY MARGINS</t>
  </si>
  <si>
    <t>GROSS</t>
  </si>
  <si>
    <t>ROC AND ROCE</t>
  </si>
  <si>
    <t>Valuation Summary</t>
  </si>
  <si>
    <t>FCFF VS FCFE</t>
  </si>
  <si>
    <t>COMPANY OVERVIEW</t>
  </si>
  <si>
    <t>United Breweries Limited (UBL) is one of India’s leading beer companies and is best known for its flagship Kingfisher brand. The company operates in the alcoholic beverages industry, with its business primarily focused on beer. UBL has an established distribution network and a strong presence across the Indian market.</t>
  </si>
  <si>
    <t>Investment &amp; Financial Overview</t>
  </si>
  <si>
    <t>This dashboard presents a DCF-based valuation and financial analysis of UBL, covering historical performance from FY2021–FY2025 and forecasts through FY2035. The analysis evaluates revenue growth, profitability, liquidity, leverage, working-capital efficiency and return ratios.
The valuation section uses FCFF/DCF methodology, supported by WACC, terminal growth and sensitivity analysis. Relative valuation through EV/Revenue, EV/EBITDA, EV/EBIT and P/E multiples is also presented to provide a comparison with selected listed peers.</t>
  </si>
  <si>
    <t>Key Takeaway</t>
  </si>
  <si>
    <t>Revenue growth normalizes toward 5% in the later forecast years, reflecting a more mature growth profile.</t>
  </si>
  <si>
    <t>EBITDA margin expands from 4.4% in FY2025A to 14.4% by FY2035E, indicating significant operating leverage.</t>
  </si>
  <si>
    <t>EBIT margin improves from 3.2% in FY2025A to 12.9% by FY2035E, supported by margin expansion and operating efficiencies.</t>
  </si>
  <si>
    <t>PAT margin increases from 2.3% in FY2025A to 8.9% by FY2035E, reflecting stronger operating profitability.</t>
  </si>
  <si>
    <t>Current Ratio improves from 1.41x in FY2025A to 2.99x by FY2035E, indicating strengthening liquidity.</t>
  </si>
  <si>
    <t>Debt/Equity declines from 0.14x in FY2025A to 0.06x by FY2035E, reflecting limited reliance on debt.</t>
  </si>
  <si>
    <t>Interest Coverage increases from 66.17x in FY2025A to 154.46x by FY2035E as EBIT grows faster than finance costs.</t>
  </si>
  <si>
    <t>Cash Conversion Cycle remains elevated at approximately 95 days during the forecast period, indicating continued working-capital requirements.</t>
  </si>
  <si>
    <t>ROE increases from 10.1% in FY2025A to approximately 25% in the later forecast years, reflecting stronger earnings generation.</t>
  </si>
  <si>
    <t>ROCE rises from 13.9% in FY2025A to approximately 38% during the forecast period, indicating improved returns on capital employed.</t>
  </si>
  <si>
    <t>FCFF increases from ₹59,940 lakh in FY2026E to ₹296,032 lakh by FY2035E, supporting higher operating cash generation.</t>
  </si>
  <si>
    <t>FCFE increases from ₹58,582 lakh in FY2026E to ₹293,761 lakh by FY2035E, reflecting stronger equity cash flows.</t>
  </si>
  <si>
    <t>The DCF value represents a 15.0% discount to the current market price, with valuation sensitive to WACC and terminal growth assumptions.</t>
  </si>
  <si>
    <t>Relative valuation produces higher implied values across the selected peer multiples, highlighting the impact of valuation methodology and peer trading multiples.</t>
  </si>
  <si>
    <t>DCF valuation indicates an intrinsic value of ₹1,028.58 per share versus the current share price</t>
  </si>
  <si>
    <t>₹ lakh</t>
  </si>
  <si>
    <t>EBITDA*</t>
  </si>
  <si>
    <t>Margin</t>
  </si>
  <si>
    <t>FY21</t>
  </si>
  <si>
    <t>FY22</t>
  </si>
  <si>
    <t>FY23</t>
  </si>
  <si>
    <t>FY24</t>
  </si>
  <si>
    <t>FY25</t>
  </si>
  <si>
    <t>PV of FCFE</t>
  </si>
  <si>
    <r>
      <t xml:space="preserve">Historical inventory days remain elevated due to the nature of beer production and the need to maintain raw materials, packaging and finished-goods inventory; the forecast assumes a higher steady-state inventory requirement. UBL confirms inventories include </t>
    </r>
    <r>
      <rPr>
        <b/>
        <sz val="12"/>
        <color theme="1"/>
        <rFont val="Aptos Narrow"/>
        <family val="2"/>
        <scheme val="minor"/>
      </rPr>
      <t>raw materials, packing materials, bottles, stores and spares</t>
    </r>
    <r>
      <rPr>
        <sz val="12"/>
        <color theme="1"/>
        <rFont val="Aptos Narrow"/>
        <family val="2"/>
        <scheme val="minor"/>
      </rPr>
      <t>.</t>
    </r>
  </si>
  <si>
    <r>
      <t xml:space="preserve">Receivable days increased historically, indicating slower collection; UBL specifically noted </t>
    </r>
    <r>
      <rPr>
        <b/>
        <sz val="12"/>
        <color theme="1"/>
        <rFont val="Aptos Narrow"/>
        <family val="2"/>
        <scheme val="minor"/>
      </rPr>
      <t>delays in collections from certain state government corporations</t>
    </r>
    <r>
      <rPr>
        <sz val="12"/>
        <color theme="1"/>
        <rFont val="Aptos Narrow"/>
        <family val="2"/>
        <scheme val="minor"/>
      </rPr>
      <t xml:space="preserve"> in FY2025.</t>
    </r>
  </si>
  <si>
    <r>
      <t xml:space="preserve">ROE improves with rising PAT and relatively moderate growth in equity. UBL's reported ROE increased from </t>
    </r>
    <r>
      <rPr>
        <b/>
        <sz val="12"/>
        <color theme="1"/>
        <rFont val="Aptos Narrow"/>
        <family val="2"/>
        <scheme val="minor"/>
      </rPr>
      <t>7.7% in FY2023 to 10.1% in FY2024 and 10.3% in FY2025</t>
    </r>
    <r>
      <rPr>
        <sz val="12"/>
        <color theme="1"/>
        <rFont val="Aptos Narrow"/>
        <family val="2"/>
        <scheme val="minor"/>
      </rPr>
      <t>.</t>
    </r>
  </si>
  <si>
    <r>
      <t xml:space="preserve">ROCE improves materially in the forecast as EBIT expands relative to capital employed. Historically, UBL reported </t>
    </r>
    <r>
      <rPr>
        <b/>
        <sz val="12"/>
        <color theme="1"/>
        <rFont val="Aptos Narrow"/>
        <family val="2"/>
        <scheme val="minor"/>
      </rPr>
      <t>13.1% in FY2024 and 13.0% in FY2025</t>
    </r>
    <r>
      <rPr>
        <sz val="12"/>
        <color theme="1"/>
        <rFont val="Aptos Narrow"/>
        <family val="2"/>
        <scheme val="minor"/>
      </rPr>
      <t>, indicating a stable pre-forecast capital return base.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</si>
</sst>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0.0%"/>
    <numFmt numFmtId="165" formatCode="0.0"/>
    <numFmt numFmtId="166" formatCode="_(* #,##0_);_(* \(#,##0\);_(* &quot;-&quot;??_);_(@_)"/>
    <numFmt numFmtId="167" formatCode="0.00\x"/>
    <numFmt numFmtId="168" formatCode="#,##0;\(#,##0\);\-"/>
    <numFmt numFmtId="169" formatCode="#,##0.00;\(#,##0.00\);\-"/>
    <numFmt numFmtId="170" formatCode="#,##0.00;\(#,##0.00\)"/>
    <numFmt numFmtId="171" formatCode="\₹#,##0.00;[Red]\(\₹#,##0.00\)"/>
    <numFmt numFmtId="172" formatCode="#,##0.0"/>
    <numFmt numFmtId="173" formatCode="0.0\x"/>
    <numFmt numFmtId="174" formatCode="\₹#,##0.00"/>
    <numFmt numFmtId="175" formatCode="_([$₹-4009]* #,##0.00_);_([$₹-4009]* \(#,##0.00\);_([$₹-4009]* &quot;-&quot;??_);_(@_)"/>
    <numFmt numFmtId="176" formatCode="0\x"/>
  </numFmts>
  <fonts count="122"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2"/>
      <color theme="0"/>
      <name val="Aptos Narrow"/>
      <family val="2"/>
      <scheme val="minor"/>
    </font>
    <font>
      <sz val="10"/>
      <color rgb="FF000000"/>
      <name val="Helvetica Neue"/>
      <family val="2"/>
    </font>
    <font>
      <b/>
      <sz val="10"/>
      <color rgb="FF000000"/>
      <name val="Helvetica Neue"/>
      <family val="2"/>
    </font>
    <font>
      <sz val="12"/>
      <color theme="1"/>
      <name val="Helvetica"/>
      <family val="2"/>
    </font>
    <font>
      <sz val="12"/>
      <color theme="1"/>
      <name val="Aptos Narrow"/>
      <scheme val="minor"/>
    </font>
    <font>
      <b/>
      <sz val="12"/>
      <color theme="1"/>
      <name val="Aptos Narrow"/>
      <scheme val="minor"/>
    </font>
    <font>
      <sz val="10"/>
      <color theme="1"/>
      <name val="Arial Unicode MS"/>
      <family val="2"/>
    </font>
    <font>
      <b/>
      <sz val="9"/>
      <color rgb="FFFFFFFF"/>
      <name val="Arial"/>
      <family val="2"/>
    </font>
    <font>
      <i/>
      <sz val="9"/>
      <color rgb="FF666666"/>
      <name val="Arial"/>
      <family val="2"/>
    </font>
    <font>
      <sz val="10"/>
      <name val="Aptos Narrow"/>
      <scheme val="minor"/>
    </font>
    <font>
      <b/>
      <sz val="10"/>
      <color rgb="FF000000"/>
      <name val="Aptos Narrow"/>
      <scheme val="minor"/>
    </font>
    <font>
      <sz val="10"/>
      <color rgb="FF000000"/>
      <name val="Aptos Narrow"/>
      <scheme val="minor"/>
    </font>
    <font>
      <sz val="10"/>
      <color rgb="FF4472C4"/>
      <name val="Aptos Narrow"/>
      <scheme val="minor"/>
    </font>
    <font>
      <b/>
      <i/>
      <sz val="10"/>
      <color rgb="FF4472C4"/>
      <name val="Aptos Narrow"/>
      <scheme val="minor"/>
    </font>
    <font>
      <i/>
      <sz val="10"/>
      <color rgb="FF4472C4"/>
      <name val="Aptos Narrow"/>
      <scheme val="minor"/>
    </font>
    <font>
      <b/>
      <sz val="10"/>
      <color theme="0"/>
      <name val="Aptos Narrow"/>
      <scheme val="minor"/>
    </font>
    <font>
      <sz val="10"/>
      <color theme="0"/>
      <name val="Aptos Narrow"/>
      <scheme val="minor"/>
    </font>
    <font>
      <sz val="12"/>
      <color theme="0"/>
      <name val="Aptos Narrow"/>
      <scheme val="minor"/>
    </font>
    <font>
      <b/>
      <sz val="12"/>
      <color theme="0"/>
      <name val="Aptos Narrow"/>
      <scheme val="minor"/>
    </font>
    <font>
      <i/>
      <sz val="10"/>
      <color rgb="FF0070C0"/>
      <name val="Aptos Narrow"/>
      <scheme val="minor"/>
    </font>
    <font>
      <sz val="10"/>
      <color rgb="FF0070C0"/>
      <name val="Aptos Narrow"/>
      <scheme val="minor"/>
    </font>
    <font>
      <b/>
      <sz val="10"/>
      <name val="Aptos Narrow"/>
      <scheme val="minor"/>
    </font>
    <font>
      <b/>
      <i/>
      <sz val="9"/>
      <color rgb="FF666666"/>
      <name val="Aptos Narrow"/>
      <scheme val="minor"/>
    </font>
    <font>
      <b/>
      <sz val="11"/>
      <color theme="1"/>
      <name val="Aptos Narrow"/>
      <scheme val="minor"/>
    </font>
    <font>
      <b/>
      <sz val="24"/>
      <color theme="1"/>
      <name val="Aptos Narrow"/>
      <scheme val="minor"/>
    </font>
    <font>
      <sz val="10"/>
      <color theme="1"/>
      <name val="Aptos Narrow"/>
      <scheme val="minor"/>
    </font>
    <font>
      <sz val="14"/>
      <color theme="1"/>
      <name val="Aptos Narrow"/>
      <scheme val="minor"/>
    </font>
    <font>
      <b/>
      <sz val="10"/>
      <color theme="1"/>
      <name val="Aptos Narrow"/>
      <scheme val="minor"/>
    </font>
    <font>
      <sz val="10"/>
      <color rgb="FFC00000"/>
      <name val="Aptos Narrow"/>
      <scheme val="minor"/>
    </font>
    <font>
      <sz val="10"/>
      <color rgb="FFFF0000"/>
      <name val="Aptos Narrow"/>
      <scheme val="minor"/>
    </font>
    <font>
      <i/>
      <sz val="10"/>
      <color rgb="FFFF0000"/>
      <name val="Aptos Narrow"/>
      <scheme val="minor"/>
    </font>
    <font>
      <b/>
      <sz val="9"/>
      <color rgb="FF000000"/>
      <name val="Tahoma"/>
      <family val="2"/>
    </font>
    <font>
      <sz val="9"/>
      <color rgb="FF000000"/>
      <name val="Tahoma"/>
      <family val="2"/>
    </font>
    <font>
      <i/>
      <sz val="10"/>
      <color theme="1"/>
      <name val="Aptos Narrow"/>
      <scheme val="minor"/>
    </font>
    <font>
      <sz val="14"/>
      <color theme="1"/>
      <name val="Aptos Narrow"/>
      <family val="2"/>
      <scheme val="minor"/>
    </font>
    <font>
      <sz val="12"/>
      <color theme="1"/>
      <name val="Aptos Display"/>
      <scheme val="major"/>
    </font>
    <font>
      <i/>
      <sz val="9"/>
      <color rgb="FF808080"/>
      <name val="Aptos Display"/>
      <scheme val="major"/>
    </font>
    <font>
      <b/>
      <sz val="11"/>
      <color theme="1"/>
      <name val="Aptos Display"/>
      <scheme val="major"/>
    </font>
    <font>
      <sz val="10"/>
      <color theme="1"/>
      <name val="Aptos Display"/>
      <scheme val="major"/>
    </font>
    <font>
      <b/>
      <sz val="11"/>
      <color rgb="FFFFFFFF"/>
      <name val="Aptos Display"/>
      <scheme val="major"/>
    </font>
    <font>
      <sz val="11"/>
      <color rgb="FF000000"/>
      <name val="Aptos Display"/>
      <scheme val="major"/>
    </font>
    <font>
      <i/>
      <sz val="11"/>
      <color rgb="FF808080"/>
      <name val="Aptos Display"/>
      <scheme val="major"/>
    </font>
    <font>
      <sz val="11"/>
      <color rgb="FF0563C1"/>
      <name val="Aptos Display"/>
      <scheme val="major"/>
    </font>
    <font>
      <b/>
      <i/>
      <sz val="11"/>
      <color rgb="FF0070C0"/>
      <name val="Aptos Display"/>
      <scheme val="major"/>
    </font>
    <font>
      <sz val="11"/>
      <color rgb="FF0070C0"/>
      <name val="Aptos Display"/>
      <scheme val="major"/>
    </font>
    <font>
      <b/>
      <sz val="11"/>
      <color rgb="FF0070C0"/>
      <name val="Aptos Display"/>
      <scheme val="major"/>
    </font>
    <font>
      <b/>
      <sz val="11"/>
      <color rgb="FF0563C1"/>
      <name val="Aptos Display"/>
      <scheme val="major"/>
    </font>
    <font>
      <b/>
      <sz val="11"/>
      <color rgb="FF000000"/>
      <name val="Aptos Display"/>
      <scheme val="major"/>
    </font>
    <font>
      <b/>
      <sz val="24"/>
      <name val="Aptos Display"/>
      <scheme val="major"/>
    </font>
    <font>
      <sz val="14"/>
      <name val="Aptos Display"/>
      <scheme val="major"/>
    </font>
    <font>
      <sz val="11"/>
      <color theme="1"/>
      <name val="Aptos Display"/>
      <scheme val="major"/>
    </font>
    <font>
      <sz val="10"/>
      <color theme="1"/>
      <name val="Aptos Narrow"/>
      <family val="2"/>
      <scheme val="minor"/>
    </font>
    <font>
      <sz val="14"/>
      <name val="Aptos Display"/>
      <charset val="1"/>
    </font>
    <font>
      <sz val="8"/>
      <color rgb="FF666666"/>
      <name val="Arial"/>
      <family val="2"/>
    </font>
    <font>
      <b/>
      <sz val="10"/>
      <color rgb="FFFFFFFF"/>
      <name val="Arial"/>
      <family val="2"/>
    </font>
    <font>
      <sz val="9"/>
      <color rgb="FF000000"/>
      <name val="Arial"/>
      <family val="2"/>
    </font>
    <font>
      <sz val="9"/>
      <name val="Arial"/>
      <family val="2"/>
    </font>
    <font>
      <b/>
      <sz val="9"/>
      <color rgb="FF000000"/>
      <name val="Arial"/>
      <family val="2"/>
    </font>
    <font>
      <b/>
      <sz val="9"/>
      <name val="Arial"/>
      <family val="2"/>
    </font>
    <font>
      <b/>
      <sz val="18"/>
      <color theme="1"/>
      <name val="Arial"/>
      <family val="2"/>
    </font>
    <font>
      <i/>
      <sz val="14"/>
      <color theme="1"/>
      <name val="Arial"/>
      <family val="2"/>
    </font>
    <font>
      <sz val="9"/>
      <color rgb="FFFF0000"/>
      <name val="Arial"/>
      <family val="2"/>
    </font>
    <font>
      <b/>
      <sz val="9"/>
      <color rgb="FFFF0000"/>
      <name val="Arial"/>
      <family val="2"/>
    </font>
    <font>
      <b/>
      <sz val="11"/>
      <color rgb="FFFFFFFF"/>
      <name val="Arial"/>
      <family val="2"/>
    </font>
    <font>
      <sz val="10"/>
      <name val="Arial"/>
      <family val="2"/>
    </font>
    <font>
      <sz val="11"/>
      <color theme="1"/>
      <name val="Aptos Narrow"/>
      <family val="2"/>
      <scheme val="minor"/>
    </font>
    <font>
      <b/>
      <sz val="10"/>
      <name val="Arial"/>
      <family val="2"/>
    </font>
    <font>
      <b/>
      <sz val="36"/>
      <color rgb="FF000000"/>
      <name val="Arial"/>
      <family val="2"/>
    </font>
    <font>
      <sz val="36"/>
      <color theme="1"/>
      <name val="Aptos Narrow"/>
      <family val="2"/>
      <scheme val="minor"/>
    </font>
    <font>
      <i/>
      <sz val="18"/>
      <color rgb="FF404040"/>
      <name val="Arial"/>
      <family val="2"/>
    </font>
    <font>
      <sz val="18"/>
      <color theme="1"/>
      <name val="Aptos Narrow"/>
      <family val="2"/>
      <scheme val="minor"/>
    </font>
    <font>
      <sz val="11"/>
      <name val="Arial"/>
      <family val="2"/>
    </font>
    <font>
      <sz val="12"/>
      <name val="Arial"/>
      <family val="2"/>
    </font>
    <font>
      <b/>
      <sz val="12"/>
      <name val="Arial"/>
      <family val="2"/>
    </font>
    <font>
      <b/>
      <sz val="14"/>
      <color rgb="FFFFFFFF"/>
      <name val="Arial"/>
      <family val="2"/>
    </font>
    <font>
      <b/>
      <sz val="16"/>
      <color rgb="FFFFFFFF"/>
      <name val="Arial"/>
      <family val="2"/>
    </font>
    <font>
      <i/>
      <sz val="12"/>
      <color rgb="FF666666"/>
      <name val="Arial"/>
      <family val="2"/>
    </font>
    <font>
      <i/>
      <sz val="10"/>
      <color rgb="FF0070C0"/>
      <name val="Arial"/>
      <family val="2"/>
    </font>
    <font>
      <sz val="9.5"/>
      <name val="Arial"/>
      <family val="2"/>
    </font>
    <font>
      <sz val="10"/>
      <color rgb="FF000000"/>
      <name val="Arial"/>
      <family val="2"/>
    </font>
    <font>
      <i/>
      <sz val="10"/>
      <color rgb="FF666666"/>
      <name val="Arial"/>
      <family val="2"/>
    </font>
    <font>
      <sz val="9"/>
      <color rgb="FF666666"/>
      <name val="Arial"/>
      <family val="2"/>
    </font>
    <font>
      <sz val="11"/>
      <color rgb="FF000000"/>
      <name val="Calibri"/>
      <family val="2"/>
    </font>
    <font>
      <i/>
      <sz val="8"/>
      <color rgb="FF666666"/>
      <name val="Arial"/>
      <family val="2"/>
    </font>
    <font>
      <sz val="14"/>
      <name val="Arial"/>
      <family val="2"/>
    </font>
    <font>
      <b/>
      <sz val="48"/>
      <name val="Arial"/>
      <family val="2"/>
    </font>
    <font>
      <i/>
      <sz val="22"/>
      <color rgb="FF666666"/>
      <name val="Arial"/>
      <family val="2"/>
    </font>
    <font>
      <b/>
      <sz val="12"/>
      <color rgb="FFFFFFFF"/>
      <name val="Arial"/>
      <family val="2"/>
    </font>
    <font>
      <b/>
      <sz val="12"/>
      <name val="Aptos Narrow"/>
      <family val="2"/>
      <scheme val="minor"/>
    </font>
    <font>
      <u/>
      <sz val="12"/>
      <color theme="10"/>
      <name val="Aptos Narrow"/>
      <family val="2"/>
      <scheme val="minor"/>
    </font>
    <font>
      <b/>
      <sz val="22"/>
      <color rgb="FFFFFFFF"/>
      <name val="Aptos Narrow"/>
    </font>
    <font>
      <i/>
      <sz val="11"/>
      <color rgb="FFFFFFFF"/>
      <name val="Aptos Narrow"/>
    </font>
    <font>
      <b/>
      <sz val="11"/>
      <color rgb="FFFFFFFF"/>
      <name val="Aptos Narrow"/>
    </font>
    <font>
      <i/>
      <sz val="10"/>
      <color rgb="FF666666"/>
      <name val="Aptos Narrow"/>
    </font>
    <font>
      <sz val="10"/>
      <color rgb="FFFF0000"/>
      <name val="Arial"/>
      <family val="2"/>
    </font>
    <font>
      <b/>
      <sz val="14"/>
      <color rgb="FFFFFFFF"/>
      <name val="Aptos Narrow"/>
      <scheme val="minor"/>
    </font>
    <font>
      <b/>
      <sz val="16"/>
      <color rgb="FFFFFFFF"/>
      <name val="Aptos Narrow"/>
      <scheme val="minor"/>
    </font>
    <font>
      <sz val="16"/>
      <color theme="1"/>
      <name val="Aptos Narrow"/>
      <scheme val="minor"/>
    </font>
    <font>
      <b/>
      <sz val="14"/>
      <name val="Arial"/>
      <family val="2"/>
    </font>
    <font>
      <b/>
      <sz val="26"/>
      <color rgb="FF000000"/>
      <name val="Arial"/>
      <family val="2"/>
    </font>
    <font>
      <sz val="26"/>
      <color theme="1"/>
      <name val="Aptos Narrow"/>
      <family val="2"/>
      <scheme val="minor"/>
    </font>
    <font>
      <b/>
      <sz val="20"/>
      <color rgb="FF17365D"/>
      <name val="Aptos Narrow"/>
      <scheme val="minor"/>
    </font>
    <font>
      <sz val="20"/>
      <color theme="1"/>
      <name val="Aptos Narrow"/>
      <scheme val="minor"/>
    </font>
    <font>
      <b/>
      <sz val="11"/>
      <color rgb="FF1F1F1F"/>
      <name val="Aptos Narrow (Body)"/>
    </font>
    <font>
      <sz val="11"/>
      <color theme="1"/>
      <name val="Aptos Narrow (Body)"/>
    </font>
    <font>
      <b/>
      <sz val="12"/>
      <color rgb="FF1F1F1F"/>
      <name val="Aptos Narrow"/>
      <scheme val="minor"/>
    </font>
    <font>
      <b/>
      <sz val="20"/>
      <color rgb="FF1F1F1F"/>
      <name val="Aptos Narrow"/>
      <scheme val="minor"/>
    </font>
    <font>
      <b/>
      <sz val="11"/>
      <color rgb="FF17365D"/>
      <name val="Aptos Narrow (Body)"/>
    </font>
    <font>
      <b/>
      <sz val="12"/>
      <color rgb="FF17365D"/>
      <name val="Aptos Narrow"/>
      <scheme val="minor"/>
    </font>
    <font>
      <b/>
      <sz val="11"/>
      <color rgb="FFFFFFFF"/>
      <name val="Aptos Narrow (Body)"/>
    </font>
    <font>
      <sz val="11"/>
      <color theme="0"/>
      <name val="Aptos Narrow (Body)"/>
    </font>
    <font>
      <b/>
      <i/>
      <sz val="18"/>
      <color rgb="FF4472C4"/>
      <name val="Aptos Narrow"/>
      <scheme val="minor"/>
    </font>
    <font>
      <sz val="18"/>
      <name val="Aptos Narrow"/>
      <scheme val="minor"/>
    </font>
    <font>
      <sz val="12"/>
      <color rgb="FF000000"/>
      <name val="Calibri"/>
      <family val="2"/>
    </font>
    <font>
      <b/>
      <i/>
      <sz val="12"/>
      <name val="Arial"/>
      <family val="2"/>
    </font>
    <font>
      <i/>
      <sz val="14"/>
      <color rgb="FF666666"/>
      <name val="Arial"/>
      <family val="2"/>
    </font>
    <font>
      <i/>
      <sz val="16"/>
      <color rgb="FF666666"/>
      <name val="Arial"/>
      <family val="2"/>
    </font>
    <font>
      <i/>
      <sz val="18"/>
      <color rgb="FF666666"/>
      <name val="Arial"/>
      <family val="2"/>
    </font>
  </fonts>
  <fills count="20">
    <fill>
      <patternFill patternType="none"/>
    </fill>
    <fill>
      <patternFill patternType="gray125"/>
    </fill>
    <fill>
      <patternFill patternType="solid">
        <fgColor rgb="FFFFF2CC"/>
      </patternFill>
    </fill>
    <fill>
      <patternFill patternType="solid">
        <fgColor rgb="FF0070C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0070C0"/>
      </patternFill>
    </fill>
    <fill>
      <patternFill patternType="solid">
        <fgColor rgb="FF0B1F3A"/>
      </patternFill>
    </fill>
    <fill>
      <patternFill patternType="solid">
        <fgColor theme="0"/>
        <bgColor indexed="64"/>
      </patternFill>
    </fill>
    <fill>
      <patternFill patternType="solid">
        <fgColor theme="9" tint="0.79998168889431442"/>
        <bgColor indexed="64"/>
      </patternFill>
    </fill>
    <fill>
      <patternFill patternType="solid">
        <fgColor rgb="FFF2F2F2"/>
      </patternFill>
    </fill>
    <fill>
      <patternFill patternType="solid">
        <fgColor rgb="FFF4E9CF"/>
      </patternFill>
    </fill>
    <fill>
      <patternFill patternType="solid">
        <fgColor rgb="FF17365D"/>
      </patternFill>
    </fill>
    <fill>
      <patternFill patternType="solid">
        <fgColor rgb="FFD9EAF7"/>
      </patternFill>
    </fill>
    <fill>
      <patternFill patternType="solid">
        <fgColor rgb="FFE2F0D9"/>
      </patternFill>
    </fill>
    <fill>
      <patternFill patternType="solid">
        <fgColor rgb="FF0070C0"/>
        <bgColor rgb="FF000000"/>
      </patternFill>
    </fill>
    <fill>
      <patternFill patternType="solid">
        <fgColor rgb="FF17365D"/>
        <bgColor rgb="FF000000"/>
      </patternFill>
    </fill>
    <fill>
      <patternFill patternType="solid">
        <fgColor rgb="FFFFFFFF"/>
        <bgColor rgb="FF000000"/>
      </patternFill>
    </fill>
    <fill>
      <patternFill patternType="solid">
        <fgColor rgb="FFE7E6E6"/>
      </patternFill>
    </fill>
    <fill>
      <patternFill patternType="solid">
        <fgColor rgb="FFF5F9FC"/>
      </patternFill>
    </fill>
  </fills>
  <borders count="10">
    <border>
      <left/>
      <right/>
      <top/>
      <bottom/>
      <diagonal/>
    </border>
    <border>
      <left/>
      <right/>
      <top style="thin">
        <color rgb="FFF4B183"/>
      </top>
      <bottom style="thin">
        <color rgb="FFF4B183"/>
      </bottom>
      <diagonal/>
    </border>
    <border>
      <left/>
      <right/>
      <top/>
      <bottom style="hair">
        <color rgb="FFD9D9D9"/>
      </bottom>
      <diagonal/>
    </border>
    <border>
      <left/>
      <right/>
      <top/>
      <bottom style="thin">
        <color rgb="FFD9D9D9"/>
      </bottom>
      <diagonal/>
    </border>
    <border>
      <left style="medium">
        <color rgb="FF0070C0"/>
      </left>
      <right/>
      <top/>
      <bottom/>
      <diagonal/>
    </border>
    <border>
      <left/>
      <right/>
      <top/>
      <bottom style="thin">
        <color indexed="64"/>
      </bottom>
      <diagonal/>
    </border>
    <border>
      <left/>
      <right/>
      <top/>
      <bottom style="thin">
        <color rgb="FFBFBFBF"/>
      </bottom>
      <diagonal/>
    </border>
    <border>
      <left/>
      <right/>
      <top/>
      <bottom style="thin">
        <color rgb="FFFFFFFF"/>
      </bottom>
      <diagonal/>
    </border>
    <border>
      <left/>
      <right/>
      <top style="thin">
        <color rgb="FFD9D9D9"/>
      </top>
      <bottom style="thin">
        <color rgb="FFD9D9D9"/>
      </bottom>
      <diagonal/>
    </border>
    <border>
      <left/>
      <right/>
      <top style="thin">
        <color rgb="FFD9D9D9"/>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93" fillId="0" borderId="0" applyNumberFormat="0" applyFill="0" applyBorder="0" applyAlignment="0" applyProtection="0"/>
  </cellStyleXfs>
  <cellXfs count="351">
    <xf numFmtId="0" fontId="0" fillId="0" borderId="0" xfId="0"/>
    <xf numFmtId="0" fontId="6" fillId="0" borderId="0" xfId="0" applyFont="1"/>
    <xf numFmtId="0" fontId="5" fillId="0" borderId="0" xfId="0" applyFont="1"/>
    <xf numFmtId="3" fontId="0" fillId="0" borderId="0" xfId="0" applyNumberFormat="1"/>
    <xf numFmtId="3" fontId="5" fillId="0" borderId="0" xfId="0" applyNumberFormat="1" applyFont="1"/>
    <xf numFmtId="4" fontId="5" fillId="0" borderId="0" xfId="0" applyNumberFormat="1" applyFont="1"/>
    <xf numFmtId="0" fontId="7" fillId="0" borderId="0" xfId="0" applyFont="1"/>
    <xf numFmtId="0" fontId="6" fillId="0" borderId="0" xfId="0" applyFont="1" applyAlignment="1">
      <alignment horizontal="center"/>
    </xf>
    <xf numFmtId="0" fontId="3" fillId="0" borderId="0" xfId="0" applyFont="1"/>
    <xf numFmtId="0" fontId="3" fillId="0" borderId="0" xfId="0" applyFont="1" applyAlignment="1">
      <alignment horizontal="center"/>
    </xf>
    <xf numFmtId="0" fontId="0" fillId="0" borderId="0" xfId="0" applyAlignment="1">
      <alignment horizontal="center"/>
    </xf>
    <xf numFmtId="3" fontId="0" fillId="0" borderId="0" xfId="0" applyNumberFormat="1" applyAlignment="1">
      <alignment horizontal="center"/>
    </xf>
    <xf numFmtId="3" fontId="3" fillId="0" borderId="0" xfId="0" applyNumberFormat="1" applyFont="1" applyAlignment="1">
      <alignment horizontal="center"/>
    </xf>
    <xf numFmtId="3" fontId="8" fillId="0" borderId="0" xfId="0" applyNumberFormat="1" applyFont="1"/>
    <xf numFmtId="3" fontId="9" fillId="0" borderId="0" xfId="0" applyNumberFormat="1" applyFont="1" applyAlignment="1">
      <alignment horizontal="center"/>
    </xf>
    <xf numFmtId="0" fontId="3" fillId="0" borderId="0" xfId="0" applyFont="1" applyAlignment="1">
      <alignment horizontal="left"/>
    </xf>
    <xf numFmtId="3" fontId="9" fillId="0" borderId="0" xfId="0" applyNumberFormat="1" applyFont="1"/>
    <xf numFmtId="0" fontId="9" fillId="0" borderId="0" xfId="0" applyFont="1" applyAlignment="1">
      <alignment horizontal="center"/>
    </xf>
    <xf numFmtId="0" fontId="10" fillId="0" borderId="0" xfId="0" applyFont="1"/>
    <xf numFmtId="0" fontId="8" fillId="0" borderId="0" xfId="0" applyFont="1"/>
    <xf numFmtId="0" fontId="13" fillId="0" borderId="0" xfId="0" applyFont="1" applyAlignment="1">
      <alignment horizontal="left" vertical="center"/>
    </xf>
    <xf numFmtId="0" fontId="13" fillId="0" borderId="0" xfId="0" applyFont="1"/>
    <xf numFmtId="0" fontId="15" fillId="0" borderId="0" xfId="0" applyFont="1" applyAlignment="1">
      <alignment horizontal="left" vertical="center"/>
    </xf>
    <xf numFmtId="0" fontId="16" fillId="2" borderId="0" xfId="0" applyFont="1" applyFill="1" applyAlignment="1">
      <alignment horizontal="center"/>
    </xf>
    <xf numFmtId="0" fontId="13" fillId="0" borderId="0" xfId="0" applyFont="1" applyAlignment="1">
      <alignment horizontal="right"/>
    </xf>
    <xf numFmtId="0" fontId="17" fillId="0" borderId="0" xfId="0" applyFont="1" applyAlignment="1">
      <alignment horizontal="left" vertical="center"/>
    </xf>
    <xf numFmtId="0" fontId="15" fillId="0" borderId="2" xfId="0" applyFont="1" applyBorder="1" applyAlignment="1">
      <alignment horizontal="left" vertical="center"/>
    </xf>
    <xf numFmtId="0" fontId="13" fillId="0" borderId="2" xfId="0" applyFont="1" applyBorder="1"/>
    <xf numFmtId="0" fontId="18" fillId="0" borderId="2" xfId="0" applyFont="1" applyBorder="1" applyAlignment="1">
      <alignment horizontal="right"/>
    </xf>
    <xf numFmtId="0" fontId="13" fillId="2" borderId="2" xfId="0" applyFont="1" applyFill="1" applyBorder="1" applyAlignment="1">
      <alignment horizontal="right"/>
    </xf>
    <xf numFmtId="164" fontId="13" fillId="0" borderId="2" xfId="0" applyNumberFormat="1" applyFont="1" applyBorder="1"/>
    <xf numFmtId="164" fontId="13" fillId="0" borderId="2" xfId="0" applyNumberFormat="1" applyFont="1" applyBorder="1" applyAlignment="1">
      <alignment horizontal="right"/>
    </xf>
    <xf numFmtId="164" fontId="18" fillId="2" borderId="2" xfId="0" applyNumberFormat="1" applyFont="1" applyFill="1" applyBorder="1" applyAlignment="1">
      <alignment horizontal="right"/>
    </xf>
    <xf numFmtId="165" fontId="13" fillId="0" borderId="2" xfId="0" applyNumberFormat="1" applyFont="1" applyBorder="1" applyAlignment="1">
      <alignment horizontal="right"/>
    </xf>
    <xf numFmtId="165" fontId="18" fillId="2" borderId="2" xfId="0" applyNumberFormat="1" applyFont="1" applyFill="1" applyBorder="1" applyAlignment="1">
      <alignment horizontal="right"/>
    </xf>
    <xf numFmtId="0" fontId="13" fillId="0" borderId="2" xfId="0" applyFont="1" applyBorder="1" applyAlignment="1">
      <alignment horizontal="right"/>
    </xf>
    <xf numFmtId="0" fontId="19" fillId="3" borderId="1" xfId="0" applyFont="1" applyFill="1" applyBorder="1" applyAlignment="1">
      <alignment horizontal="left" vertical="center"/>
    </xf>
    <xf numFmtId="0" fontId="20" fillId="3" borderId="1" xfId="0" applyFont="1" applyFill="1" applyBorder="1"/>
    <xf numFmtId="0" fontId="21" fillId="3" borderId="0" xfId="0" applyFont="1" applyFill="1"/>
    <xf numFmtId="3" fontId="13" fillId="0" borderId="0" xfId="0" applyNumberFormat="1" applyFont="1"/>
    <xf numFmtId="9" fontId="13" fillId="0" borderId="0" xfId="2" applyFont="1"/>
    <xf numFmtId="3" fontId="18" fillId="0" borderId="2" xfId="0" applyNumberFormat="1" applyFont="1" applyBorder="1" applyAlignment="1">
      <alignment horizontal="right"/>
    </xf>
    <xf numFmtId="37" fontId="13" fillId="2" borderId="2" xfId="1" applyNumberFormat="1" applyFont="1" applyFill="1" applyBorder="1" applyAlignment="1">
      <alignment horizontal="right"/>
    </xf>
    <xf numFmtId="166" fontId="13" fillId="2" borderId="2" xfId="1" applyNumberFormat="1" applyFont="1" applyFill="1" applyBorder="1" applyAlignment="1">
      <alignment horizontal="right"/>
    </xf>
    <xf numFmtId="0" fontId="22" fillId="3" borderId="1" xfId="0" applyFont="1" applyFill="1" applyBorder="1" applyAlignment="1">
      <alignment horizontal="left" vertical="center"/>
    </xf>
    <xf numFmtId="164" fontId="13" fillId="0" borderId="0" xfId="0" applyNumberFormat="1" applyFont="1"/>
    <xf numFmtId="164" fontId="13" fillId="0" borderId="0" xfId="0" applyNumberFormat="1" applyFont="1" applyAlignment="1">
      <alignment horizontal="right"/>
    </xf>
    <xf numFmtId="164" fontId="18" fillId="2" borderId="0" xfId="0" applyNumberFormat="1" applyFont="1" applyFill="1" applyAlignment="1">
      <alignment horizontal="right"/>
    </xf>
    <xf numFmtId="0" fontId="20" fillId="3" borderId="0" xfId="0" applyFont="1" applyFill="1" applyAlignment="1">
      <alignment horizontal="center" vertical="center"/>
    </xf>
    <xf numFmtId="166" fontId="13" fillId="0" borderId="0" xfId="1" applyNumberFormat="1" applyFont="1" applyBorder="1" applyAlignment="1">
      <alignment horizontal="right"/>
    </xf>
    <xf numFmtId="3" fontId="13" fillId="0" borderId="0" xfId="0" applyNumberFormat="1" applyFont="1" applyAlignment="1">
      <alignment horizontal="right"/>
    </xf>
    <xf numFmtId="3" fontId="23" fillId="0" borderId="2" xfId="0" applyNumberFormat="1" applyFont="1" applyBorder="1" applyAlignment="1">
      <alignment horizontal="right"/>
    </xf>
    <xf numFmtId="3" fontId="24" fillId="0" borderId="0" xfId="0" applyNumberFormat="1" applyFont="1"/>
    <xf numFmtId="0" fontId="25" fillId="0" borderId="0" xfId="0" applyFont="1" applyAlignment="1">
      <alignment horizontal="left" vertical="center"/>
    </xf>
    <xf numFmtId="0" fontId="26" fillId="0" borderId="0" xfId="0" applyFont="1" applyAlignment="1">
      <alignment horizontal="left" vertical="center"/>
    </xf>
    <xf numFmtId="0" fontId="26" fillId="0" borderId="2" xfId="0" applyFont="1" applyBorder="1" applyAlignment="1">
      <alignment horizontal="left" vertical="center"/>
    </xf>
    <xf numFmtId="0" fontId="9" fillId="0" borderId="0" xfId="0" applyFont="1"/>
    <xf numFmtId="0" fontId="8" fillId="5" borderId="0" xfId="0" applyFont="1" applyFill="1"/>
    <xf numFmtId="0" fontId="29" fillId="5" borderId="0" xfId="0" applyFont="1" applyFill="1"/>
    <xf numFmtId="0" fontId="29" fillId="5" borderId="0" xfId="0" applyFont="1" applyFill="1" applyAlignment="1">
      <alignment horizontal="left" vertical="center"/>
    </xf>
    <xf numFmtId="0" fontId="31" fillId="5" borderId="0" xfId="0" applyFont="1" applyFill="1" applyAlignment="1">
      <alignment horizontal="left" vertical="center"/>
    </xf>
    <xf numFmtId="166" fontId="32" fillId="0" borderId="0" xfId="1" applyNumberFormat="1" applyFont="1" applyBorder="1" applyAlignment="1">
      <alignment horizontal="right"/>
    </xf>
    <xf numFmtId="166" fontId="18" fillId="2" borderId="0" xfId="1" applyNumberFormat="1" applyFont="1" applyFill="1" applyBorder="1" applyAlignment="1">
      <alignment horizontal="right"/>
    </xf>
    <xf numFmtId="166" fontId="32" fillId="2" borderId="2" xfId="1" applyNumberFormat="1" applyFont="1" applyFill="1" applyBorder="1" applyAlignment="1">
      <alignment horizontal="right"/>
    </xf>
    <xf numFmtId="15" fontId="16" fillId="2" borderId="0" xfId="0" applyNumberFormat="1" applyFont="1" applyFill="1" applyAlignment="1">
      <alignment horizontal="center"/>
    </xf>
    <xf numFmtId="15" fontId="29" fillId="5" borderId="0" xfId="0" applyNumberFormat="1" applyFont="1" applyFill="1" applyAlignment="1">
      <alignment horizontal="center" vertical="center"/>
    </xf>
    <xf numFmtId="0" fontId="29" fillId="5" borderId="0" xfId="0" applyFont="1" applyFill="1" applyAlignment="1">
      <alignment horizontal="center" vertical="center"/>
    </xf>
    <xf numFmtId="0" fontId="27" fillId="5" borderId="0" xfId="0" applyFont="1" applyFill="1" applyAlignment="1">
      <alignment horizontal="right"/>
    </xf>
    <xf numFmtId="0" fontId="17" fillId="0" borderId="0" xfId="0" applyFont="1" applyAlignment="1">
      <alignment horizontal="center" vertical="center"/>
    </xf>
    <xf numFmtId="0" fontId="22" fillId="3" borderId="1" xfId="0" applyFont="1" applyFill="1" applyBorder="1" applyAlignment="1">
      <alignment horizontal="center" vertical="center"/>
    </xf>
    <xf numFmtId="0" fontId="14" fillId="0" borderId="2" xfId="0" applyFont="1" applyBorder="1" applyAlignment="1">
      <alignment horizontal="left" vertical="center"/>
    </xf>
    <xf numFmtId="0" fontId="14" fillId="0" borderId="2" xfId="0" applyFont="1" applyBorder="1" applyAlignment="1">
      <alignment horizontal="center" vertical="center"/>
    </xf>
    <xf numFmtId="1" fontId="13" fillId="0" borderId="2" xfId="0" applyNumberFormat="1" applyFont="1" applyBorder="1"/>
    <xf numFmtId="166" fontId="24" fillId="0" borderId="0" xfId="1" applyNumberFormat="1" applyFont="1" applyBorder="1" applyAlignment="1">
      <alignment horizontal="right"/>
    </xf>
    <xf numFmtId="166" fontId="24" fillId="2" borderId="2" xfId="1" applyNumberFormat="1" applyFont="1" applyFill="1" applyBorder="1" applyAlignment="1">
      <alignment horizontal="right"/>
    </xf>
    <xf numFmtId="1" fontId="18" fillId="2" borderId="2" xfId="0" applyNumberFormat="1" applyFont="1" applyFill="1" applyBorder="1" applyAlignment="1">
      <alignment horizontal="right"/>
    </xf>
    <xf numFmtId="166" fontId="13" fillId="0" borderId="2" xfId="1" applyNumberFormat="1" applyFont="1" applyBorder="1" applyAlignment="1">
      <alignment horizontal="right"/>
    </xf>
    <xf numFmtId="166" fontId="18" fillId="2" borderId="2" xfId="1" applyNumberFormat="1" applyFont="1" applyFill="1" applyBorder="1" applyAlignment="1">
      <alignment horizontal="right"/>
    </xf>
    <xf numFmtId="166" fontId="33" fillId="0" borderId="2" xfId="1" applyNumberFormat="1" applyFont="1" applyBorder="1" applyAlignment="1">
      <alignment horizontal="right"/>
    </xf>
    <xf numFmtId="166" fontId="34" fillId="2" borderId="2" xfId="1" applyNumberFormat="1" applyFont="1" applyFill="1" applyBorder="1" applyAlignment="1">
      <alignment horizontal="right"/>
    </xf>
    <xf numFmtId="166" fontId="13" fillId="0" borderId="2" xfId="0" applyNumberFormat="1" applyFont="1" applyBorder="1"/>
    <xf numFmtId="166" fontId="29" fillId="0" borderId="2" xfId="1" applyNumberFormat="1" applyFont="1" applyBorder="1" applyAlignment="1">
      <alignment horizontal="right"/>
    </xf>
    <xf numFmtId="166" fontId="18" fillId="0" borderId="2" xfId="0" applyNumberFormat="1" applyFont="1" applyBorder="1" applyAlignment="1">
      <alignment horizontal="right"/>
    </xf>
    <xf numFmtId="3" fontId="29" fillId="0" borderId="2" xfId="0" applyNumberFormat="1" applyFont="1" applyBorder="1" applyAlignment="1">
      <alignment horizontal="right"/>
    </xf>
    <xf numFmtId="166" fontId="29" fillId="0" borderId="2" xfId="0" applyNumberFormat="1" applyFont="1" applyBorder="1" applyAlignment="1">
      <alignment horizontal="right"/>
    </xf>
    <xf numFmtId="0" fontId="29" fillId="0" borderId="2" xfId="0" applyFont="1" applyBorder="1" applyAlignment="1">
      <alignment horizontal="right"/>
    </xf>
    <xf numFmtId="164" fontId="37" fillId="0" borderId="2" xfId="2" applyNumberFormat="1" applyFont="1" applyBorder="1" applyAlignment="1">
      <alignment horizontal="right"/>
    </xf>
    <xf numFmtId="164" fontId="24" fillId="2" borderId="2" xfId="0" applyNumberFormat="1" applyFont="1" applyFill="1" applyBorder="1" applyAlignment="1">
      <alignment horizontal="right"/>
    </xf>
    <xf numFmtId="166" fontId="24" fillId="2" borderId="2" xfId="0" applyNumberFormat="1" applyFont="1" applyFill="1" applyBorder="1" applyAlignment="1">
      <alignment horizontal="right"/>
    </xf>
    <xf numFmtId="3" fontId="33" fillId="0" borderId="2" xfId="0" applyNumberFormat="1" applyFont="1" applyBorder="1" applyAlignment="1">
      <alignment horizontal="right"/>
    </xf>
    <xf numFmtId="166" fontId="33" fillId="2" borderId="2" xfId="0" applyNumberFormat="1" applyFont="1" applyFill="1" applyBorder="1" applyAlignment="1">
      <alignment horizontal="right"/>
    </xf>
    <xf numFmtId="0" fontId="39" fillId="0" borderId="0" xfId="0" applyFont="1"/>
    <xf numFmtId="0" fontId="40" fillId="0" borderId="0" xfId="0" applyFont="1"/>
    <xf numFmtId="0" fontId="41" fillId="5" borderId="0" xfId="0" applyFont="1" applyFill="1" applyAlignment="1">
      <alignment horizontal="right"/>
    </xf>
    <xf numFmtId="0" fontId="42" fillId="5" borderId="0" xfId="0" applyFont="1" applyFill="1"/>
    <xf numFmtId="15" fontId="42" fillId="5" borderId="0" xfId="0" applyNumberFormat="1" applyFont="1" applyFill="1" applyAlignment="1">
      <alignment horizontal="center" vertical="center"/>
    </xf>
    <xf numFmtId="0" fontId="42" fillId="5" borderId="0" xfId="0" applyFont="1" applyFill="1" applyAlignment="1">
      <alignment horizontal="center" vertical="center"/>
    </xf>
    <xf numFmtId="0" fontId="43" fillId="6" borderId="0" xfId="0" applyFont="1" applyFill="1" applyAlignment="1">
      <alignment vertical="center"/>
    </xf>
    <xf numFmtId="0" fontId="39" fillId="6" borderId="0" xfId="0" applyFont="1" applyFill="1"/>
    <xf numFmtId="0" fontId="44" fillId="0" borderId="0" xfId="0" applyFont="1"/>
    <xf numFmtId="0" fontId="45" fillId="0" borderId="0" xfId="0" applyFont="1"/>
    <xf numFmtId="0" fontId="46" fillId="2" borderId="0" xfId="0" applyFont="1" applyFill="1" applyAlignment="1">
      <alignment horizontal="center"/>
    </xf>
    <xf numFmtId="0" fontId="47" fillId="0" borderId="0" xfId="0" applyFont="1"/>
    <xf numFmtId="3" fontId="48" fillId="0" borderId="3" xfId="0" applyNumberFormat="1" applyFont="1" applyBorder="1" applyAlignment="1">
      <alignment horizontal="center"/>
    </xf>
    <xf numFmtId="3" fontId="46" fillId="2" borderId="3" xfId="0" applyNumberFormat="1" applyFont="1" applyFill="1" applyBorder="1" applyAlignment="1">
      <alignment horizontal="center"/>
    </xf>
    <xf numFmtId="164" fontId="48" fillId="0" borderId="3" xfId="0" applyNumberFormat="1" applyFont="1" applyBorder="1" applyAlignment="1">
      <alignment horizontal="center"/>
    </xf>
    <xf numFmtId="164" fontId="46" fillId="2" borderId="3" xfId="0" applyNumberFormat="1" applyFont="1" applyFill="1" applyBorder="1" applyAlignment="1">
      <alignment horizontal="center"/>
    </xf>
    <xf numFmtId="1" fontId="48" fillId="0" borderId="3" xfId="0" applyNumberFormat="1" applyFont="1" applyBorder="1" applyAlignment="1">
      <alignment horizontal="center"/>
    </xf>
    <xf numFmtId="1" fontId="46" fillId="2" borderId="3" xfId="0" applyNumberFormat="1" applyFont="1" applyFill="1" applyBorder="1" applyAlignment="1">
      <alignment horizontal="center"/>
    </xf>
    <xf numFmtId="164" fontId="46" fillId="2" borderId="0" xfId="0" applyNumberFormat="1" applyFont="1" applyFill="1" applyAlignment="1">
      <alignment horizontal="center"/>
    </xf>
    <xf numFmtId="167" fontId="46" fillId="2" borderId="0" xfId="0" applyNumberFormat="1" applyFont="1" applyFill="1" applyAlignment="1">
      <alignment horizontal="center"/>
    </xf>
    <xf numFmtId="164" fontId="44" fillId="2" borderId="0" xfId="0" applyNumberFormat="1" applyFont="1" applyFill="1" applyAlignment="1">
      <alignment horizontal="center"/>
    </xf>
    <xf numFmtId="0" fontId="49" fillId="0" borderId="0" xfId="0" applyFont="1"/>
    <xf numFmtId="0" fontId="50" fillId="0" borderId="0" xfId="0" applyFont="1"/>
    <xf numFmtId="0" fontId="39" fillId="2" borderId="0" xfId="0" applyFont="1" applyFill="1"/>
    <xf numFmtId="0" fontId="51" fillId="0" borderId="0" xfId="0" applyFont="1"/>
    <xf numFmtId="164" fontId="54" fillId="0" borderId="3" xfId="0" applyNumberFormat="1" applyFont="1" applyBorder="1" applyAlignment="1">
      <alignment horizontal="center"/>
    </xf>
    <xf numFmtId="164" fontId="39" fillId="0" borderId="0" xfId="0" applyNumberFormat="1" applyFont="1"/>
    <xf numFmtId="0" fontId="39" fillId="0" borderId="0" xfId="0" applyFont="1" applyAlignment="1">
      <alignment horizontal="center"/>
    </xf>
    <xf numFmtId="164" fontId="48" fillId="0" borderId="3" xfId="2" applyNumberFormat="1" applyFont="1" applyBorder="1" applyAlignment="1">
      <alignment horizontal="center"/>
    </xf>
    <xf numFmtId="10" fontId="46" fillId="2" borderId="3" xfId="2" applyNumberFormat="1" applyFont="1" applyFill="1" applyBorder="1" applyAlignment="1">
      <alignment horizontal="center"/>
    </xf>
    <xf numFmtId="0" fontId="44" fillId="0" borderId="0" xfId="0" applyFont="1" applyAlignment="1">
      <alignment horizontal="center"/>
    </xf>
    <xf numFmtId="0" fontId="45" fillId="0" borderId="0" xfId="0" applyFont="1" applyAlignment="1">
      <alignment horizontal="center"/>
    </xf>
    <xf numFmtId="10" fontId="3" fillId="0" borderId="0" xfId="0" applyNumberFormat="1" applyFont="1" applyAlignment="1">
      <alignment horizontal="center"/>
    </xf>
    <xf numFmtId="10" fontId="0" fillId="0" borderId="0" xfId="0" applyNumberFormat="1" applyAlignment="1">
      <alignment horizontal="center"/>
    </xf>
    <xf numFmtId="9" fontId="3" fillId="0" borderId="0" xfId="2" applyFont="1" applyAlignment="1">
      <alignment horizontal="center"/>
    </xf>
    <xf numFmtId="3" fontId="13" fillId="0" borderId="2" xfId="0" applyNumberFormat="1" applyFont="1" applyBorder="1" applyAlignment="1">
      <alignment horizontal="right"/>
    </xf>
    <xf numFmtId="0" fontId="2" fillId="3" borderId="0" xfId="0" applyFont="1" applyFill="1" applyAlignment="1">
      <alignment horizontal="center"/>
    </xf>
    <xf numFmtId="0" fontId="4" fillId="3" borderId="0" xfId="0" applyFont="1" applyFill="1" applyAlignment="1">
      <alignment horizontal="center"/>
    </xf>
    <xf numFmtId="166" fontId="33" fillId="2" borderId="2" xfId="1" applyNumberFormat="1" applyFont="1" applyFill="1" applyBorder="1" applyAlignment="1">
      <alignment horizontal="right"/>
    </xf>
    <xf numFmtId="166" fontId="8" fillId="0" borderId="0" xfId="0" applyNumberFormat="1" applyFont="1"/>
    <xf numFmtId="0" fontId="0" fillId="0" borderId="4" xfId="0" applyBorder="1"/>
    <xf numFmtId="0" fontId="11" fillId="7" borderId="0" xfId="0" applyFont="1" applyFill="1" applyAlignment="1">
      <alignment horizontal="center"/>
    </xf>
    <xf numFmtId="0" fontId="11" fillId="7" borderId="4" xfId="0" applyFont="1" applyFill="1" applyBorder="1" applyAlignment="1">
      <alignment horizontal="center"/>
    </xf>
    <xf numFmtId="0" fontId="57" fillId="0" borderId="0" xfId="0" applyFont="1" applyAlignment="1">
      <alignment horizontal="center"/>
    </xf>
    <xf numFmtId="0" fontId="57" fillId="2" borderId="4" xfId="0" applyFont="1" applyFill="1" applyBorder="1" applyAlignment="1">
      <alignment horizontal="center"/>
    </xf>
    <xf numFmtId="0" fontId="57" fillId="2" borderId="0" xfId="0" applyFont="1" applyFill="1" applyAlignment="1">
      <alignment horizontal="center"/>
    </xf>
    <xf numFmtId="0" fontId="59" fillId="0" borderId="0" xfId="0" applyFont="1"/>
    <xf numFmtId="0" fontId="57" fillId="0" borderId="0" xfId="0" applyFont="1" applyAlignment="1">
      <alignment horizontal="right"/>
    </xf>
    <xf numFmtId="168" fontId="60" fillId="0" borderId="0" xfId="0" applyNumberFormat="1" applyFont="1" applyAlignment="1">
      <alignment horizontal="right"/>
    </xf>
    <xf numFmtId="168" fontId="60" fillId="2" borderId="0" xfId="0" applyNumberFormat="1" applyFont="1" applyFill="1" applyAlignment="1">
      <alignment horizontal="right"/>
    </xf>
    <xf numFmtId="0" fontId="0" fillId="4" borderId="0" xfId="0" applyFill="1"/>
    <xf numFmtId="0" fontId="61" fillId="0" borderId="0" xfId="0" applyFont="1"/>
    <xf numFmtId="168" fontId="62" fillId="0" borderId="0" xfId="0" applyNumberFormat="1" applyFont="1" applyAlignment="1">
      <alignment horizontal="right"/>
    </xf>
    <xf numFmtId="168" fontId="65" fillId="0" borderId="0" xfId="0" applyNumberFormat="1" applyFont="1" applyAlignment="1">
      <alignment horizontal="right"/>
    </xf>
    <xf numFmtId="0" fontId="58" fillId="6" borderId="0" xfId="0" applyFont="1" applyFill="1"/>
    <xf numFmtId="168" fontId="62" fillId="2" borderId="0" xfId="0" applyNumberFormat="1" applyFont="1" applyFill="1" applyAlignment="1">
      <alignment horizontal="right"/>
    </xf>
    <xf numFmtId="168" fontId="65" fillId="2" borderId="0" xfId="0" applyNumberFormat="1" applyFont="1" applyFill="1" applyAlignment="1">
      <alignment horizontal="right"/>
    </xf>
    <xf numFmtId="0" fontId="61" fillId="0" borderId="0" xfId="0" applyFont="1" applyAlignment="1">
      <alignment horizontal="center"/>
    </xf>
    <xf numFmtId="0" fontId="58" fillId="6" borderId="0" xfId="0" applyFont="1" applyFill="1" applyAlignment="1">
      <alignment horizontal="center"/>
    </xf>
    <xf numFmtId="0" fontId="61" fillId="0" borderId="5" xfId="0" applyFont="1" applyBorder="1" applyAlignment="1">
      <alignment horizontal="center"/>
    </xf>
    <xf numFmtId="0" fontId="57" fillId="0" borderId="5" xfId="0" applyFont="1" applyBorder="1" applyAlignment="1">
      <alignment horizontal="right"/>
    </xf>
    <xf numFmtId="0" fontId="0" fillId="0" borderId="5" xfId="0" applyBorder="1"/>
    <xf numFmtId="168" fontId="62" fillId="0" borderId="5" xfId="0" applyNumberFormat="1" applyFont="1" applyBorder="1" applyAlignment="1">
      <alignment horizontal="right"/>
    </xf>
    <xf numFmtId="166" fontId="60" fillId="0" borderId="0" xfId="1" applyNumberFormat="1" applyFont="1" applyBorder="1" applyAlignment="1">
      <alignment horizontal="right"/>
    </xf>
    <xf numFmtId="166" fontId="16" fillId="2" borderId="2" xfId="1" applyNumberFormat="1" applyFont="1" applyFill="1" applyBorder="1" applyAlignment="1">
      <alignment horizontal="right"/>
    </xf>
    <xf numFmtId="0" fontId="57" fillId="8" borderId="0" xfId="0" applyFont="1" applyFill="1" applyAlignment="1">
      <alignment horizontal="right"/>
    </xf>
    <xf numFmtId="0" fontId="0" fillId="8" borderId="0" xfId="0" applyFill="1"/>
    <xf numFmtId="168" fontId="60" fillId="8" borderId="0" xfId="0" applyNumberFormat="1" applyFont="1" applyFill="1" applyAlignment="1">
      <alignment horizontal="right"/>
    </xf>
    <xf numFmtId="168" fontId="62" fillId="8" borderId="0" xfId="0" applyNumberFormat="1" applyFont="1" applyFill="1" applyAlignment="1">
      <alignment horizontal="right"/>
    </xf>
    <xf numFmtId="0" fontId="58" fillId="8" borderId="0" xfId="0" applyFont="1" applyFill="1" applyAlignment="1">
      <alignment horizontal="left"/>
    </xf>
    <xf numFmtId="0" fontId="12" fillId="8" borderId="0" xfId="0" applyFont="1" applyFill="1" applyAlignment="1">
      <alignment vertical="top" wrapText="1"/>
    </xf>
    <xf numFmtId="2" fontId="62" fillId="2" borderId="0" xfId="1" applyNumberFormat="1" applyFont="1" applyFill="1" applyBorder="1" applyAlignment="1">
      <alignment horizontal="right"/>
    </xf>
    <xf numFmtId="2" fontId="62" fillId="2" borderId="0" xfId="0" applyNumberFormat="1" applyFont="1" applyFill="1" applyAlignment="1">
      <alignment horizontal="right"/>
    </xf>
    <xf numFmtId="168" fontId="65" fillId="8" borderId="0" xfId="0" applyNumberFormat="1" applyFont="1" applyFill="1" applyAlignment="1">
      <alignment horizontal="right"/>
    </xf>
    <xf numFmtId="168" fontId="66" fillId="2" borderId="0" xfId="0" applyNumberFormat="1" applyFont="1" applyFill="1" applyAlignment="1">
      <alignment horizontal="right"/>
    </xf>
    <xf numFmtId="168" fontId="66" fillId="8" borderId="0" xfId="0" applyNumberFormat="1" applyFont="1" applyFill="1" applyAlignment="1">
      <alignment horizontal="right"/>
    </xf>
    <xf numFmtId="0" fontId="61" fillId="9" borderId="5" xfId="0" applyFont="1" applyFill="1" applyBorder="1" applyAlignment="1">
      <alignment horizontal="center"/>
    </xf>
    <xf numFmtId="0" fontId="57" fillId="9" borderId="5" xfId="0" applyFont="1" applyFill="1" applyBorder="1" applyAlignment="1">
      <alignment horizontal="right"/>
    </xf>
    <xf numFmtId="0" fontId="0" fillId="9" borderId="5" xfId="0" applyFill="1" applyBorder="1"/>
    <xf numFmtId="168" fontId="62" fillId="9" borderId="5" xfId="0" applyNumberFormat="1" applyFont="1" applyFill="1" applyBorder="1" applyAlignment="1">
      <alignment horizontal="right"/>
    </xf>
    <xf numFmtId="168" fontId="62" fillId="9" borderId="0" xfId="0" applyNumberFormat="1" applyFont="1" applyFill="1" applyAlignment="1">
      <alignment horizontal="right"/>
    </xf>
    <xf numFmtId="0" fontId="61" fillId="9" borderId="0" xfId="0" applyFont="1" applyFill="1" applyAlignment="1">
      <alignment horizontal="center"/>
    </xf>
    <xf numFmtId="0" fontId="57" fillId="9" borderId="0" xfId="0" applyFont="1" applyFill="1" applyAlignment="1">
      <alignment horizontal="right"/>
    </xf>
    <xf numFmtId="0" fontId="0" fillId="9" borderId="0" xfId="0" applyFill="1"/>
    <xf numFmtId="166" fontId="0" fillId="0" borderId="0" xfId="1" applyNumberFormat="1" applyFont="1"/>
    <xf numFmtId="3" fontId="3" fillId="0" borderId="0" xfId="0" applyNumberFormat="1" applyFont="1"/>
    <xf numFmtId="166" fontId="13" fillId="0" borderId="0" xfId="0" applyNumberFormat="1" applyFont="1"/>
    <xf numFmtId="166" fontId="60" fillId="2" borderId="0" xfId="1" applyNumberFormat="1" applyFont="1" applyFill="1" applyAlignment="1">
      <alignment horizontal="right"/>
    </xf>
    <xf numFmtId="168" fontId="0" fillId="0" borderId="0" xfId="0" applyNumberFormat="1"/>
    <xf numFmtId="169" fontId="60" fillId="2" borderId="0" xfId="0" applyNumberFormat="1" applyFont="1" applyFill="1" applyAlignment="1">
      <alignment horizontal="right"/>
    </xf>
    <xf numFmtId="0" fontId="68" fillId="0" borderId="6" xfId="0" applyFont="1" applyBorder="1" applyAlignment="1">
      <alignment vertical="center"/>
    </xf>
    <xf numFmtId="0" fontId="68" fillId="0" borderId="0" xfId="0" applyFont="1" applyAlignment="1">
      <alignment vertical="center"/>
    </xf>
    <xf numFmtId="164" fontId="70" fillId="10" borderId="0" xfId="0" applyNumberFormat="1" applyFont="1" applyFill="1" applyAlignment="1">
      <alignment vertical="center"/>
    </xf>
    <xf numFmtId="170" fontId="68" fillId="10" borderId="0" xfId="0" applyNumberFormat="1" applyFont="1" applyFill="1" applyAlignment="1">
      <alignment vertical="center"/>
    </xf>
    <xf numFmtId="170" fontId="70" fillId="11" borderId="0" xfId="0" applyNumberFormat="1" applyFont="1" applyFill="1" applyAlignment="1">
      <alignment vertical="center"/>
    </xf>
    <xf numFmtId="171" fontId="68" fillId="10" borderId="6" xfId="0" applyNumberFormat="1" applyFont="1" applyFill="1" applyBorder="1" applyAlignment="1">
      <alignment vertical="center"/>
    </xf>
    <xf numFmtId="0" fontId="62" fillId="0" borderId="0" xfId="0" applyFont="1" applyAlignment="1">
      <alignment vertical="center"/>
    </xf>
    <xf numFmtId="164" fontId="62" fillId="0" borderId="0" xfId="0" applyNumberFormat="1" applyFont="1" applyAlignment="1">
      <alignment horizontal="center" vertical="center"/>
    </xf>
    <xf numFmtId="164" fontId="62" fillId="0" borderId="0" xfId="0" applyNumberFormat="1" applyFont="1" applyAlignment="1">
      <alignment vertical="center"/>
    </xf>
    <xf numFmtId="171" fontId="69" fillId="0" borderId="6" xfId="0" applyNumberFormat="1" applyFont="1" applyBorder="1" applyAlignment="1">
      <alignment horizontal="center" vertical="center"/>
    </xf>
    <xf numFmtId="0" fontId="70" fillId="0" borderId="6" xfId="0" applyFont="1" applyBorder="1" applyAlignment="1">
      <alignment vertical="center"/>
    </xf>
    <xf numFmtId="171" fontId="70" fillId="10" borderId="6" xfId="0" applyNumberFormat="1" applyFont="1" applyFill="1" applyBorder="1" applyAlignment="1">
      <alignment vertical="center"/>
    </xf>
    <xf numFmtId="171" fontId="70" fillId="11" borderId="6" xfId="0" applyNumberFormat="1" applyFont="1" applyFill="1" applyBorder="1" applyAlignment="1">
      <alignment vertical="center"/>
    </xf>
    <xf numFmtId="0" fontId="68" fillId="0" borderId="6" xfId="0" applyFont="1" applyBorder="1" applyAlignment="1">
      <alignment horizontal="center" vertical="center"/>
    </xf>
    <xf numFmtId="0" fontId="70" fillId="0" borderId="6" xfId="0" applyFont="1" applyBorder="1" applyAlignment="1">
      <alignment horizontal="center" vertical="center"/>
    </xf>
    <xf numFmtId="0" fontId="67" fillId="3" borderId="0" xfId="0" applyFont="1" applyFill="1" applyAlignment="1">
      <alignment horizontal="left" vertical="top"/>
    </xf>
    <xf numFmtId="170" fontId="0" fillId="0" borderId="6" xfId="0" applyNumberFormat="1" applyBorder="1" applyAlignment="1">
      <alignment horizontal="center" vertical="center"/>
    </xf>
    <xf numFmtId="43" fontId="0" fillId="0" borderId="6" xfId="1" applyFont="1" applyBorder="1" applyAlignment="1">
      <alignment horizontal="center" vertical="center"/>
    </xf>
    <xf numFmtId="170" fontId="9" fillId="0" borderId="6" xfId="0" applyNumberFormat="1" applyFont="1" applyBorder="1" applyAlignment="1">
      <alignment horizontal="center" vertical="center"/>
    </xf>
    <xf numFmtId="170" fontId="77" fillId="10" borderId="6" xfId="0" applyNumberFormat="1" applyFont="1" applyFill="1" applyBorder="1" applyAlignment="1">
      <alignment horizontal="center" vertical="center"/>
    </xf>
    <xf numFmtId="0" fontId="76" fillId="0" borderId="6" xfId="0" applyFont="1" applyBorder="1" applyAlignment="1">
      <alignment horizontal="center" vertical="center"/>
    </xf>
    <xf numFmtId="0" fontId="77" fillId="0" borderId="6" xfId="0" applyFont="1" applyBorder="1" applyAlignment="1">
      <alignment horizontal="center" vertical="center"/>
    </xf>
    <xf numFmtId="0" fontId="77" fillId="10" borderId="6" xfId="0" applyFont="1" applyFill="1" applyBorder="1" applyAlignment="1">
      <alignment horizontal="center" vertical="center"/>
    </xf>
    <xf numFmtId="165" fontId="0" fillId="0" borderId="6" xfId="0" applyNumberFormat="1" applyBorder="1" applyAlignment="1">
      <alignment horizontal="center" vertical="center"/>
    </xf>
    <xf numFmtId="2" fontId="0" fillId="0" borderId="6" xfId="0" applyNumberFormat="1" applyBorder="1" applyAlignment="1">
      <alignment horizontal="center" vertical="center"/>
    </xf>
    <xf numFmtId="168" fontId="77" fillId="2" borderId="0" xfId="0" applyNumberFormat="1" applyFont="1" applyFill="1" applyAlignment="1">
      <alignment horizontal="center" vertical="center"/>
    </xf>
    <xf numFmtId="0" fontId="75" fillId="0" borderId="6" xfId="0" applyFont="1" applyBorder="1" applyAlignment="1">
      <alignment horizontal="left" vertical="center"/>
    </xf>
    <xf numFmtId="10" fontId="68" fillId="0" borderId="6" xfId="2" applyNumberFormat="1" applyFont="1" applyBorder="1" applyAlignment="1">
      <alignment horizontal="right" vertical="center"/>
    </xf>
    <xf numFmtId="43" fontId="68" fillId="0" borderId="6" xfId="1" applyFont="1" applyBorder="1" applyAlignment="1">
      <alignment horizontal="right" vertical="center"/>
    </xf>
    <xf numFmtId="0" fontId="68" fillId="0" borderId="6" xfId="0" applyFont="1" applyBorder="1" applyAlignment="1">
      <alignment horizontal="left" vertical="center"/>
    </xf>
    <xf numFmtId="0" fontId="78" fillId="3" borderId="0" xfId="0" applyFont="1" applyFill="1" applyAlignment="1">
      <alignment horizontal="center" vertical="center"/>
    </xf>
    <xf numFmtId="0" fontId="68" fillId="0" borderId="6" xfId="0" applyFont="1" applyBorder="1" applyAlignment="1">
      <alignment horizontal="right" vertical="center"/>
    </xf>
    <xf numFmtId="10" fontId="70" fillId="0" borderId="6" xfId="2" applyNumberFormat="1" applyFont="1" applyBorder="1" applyAlignment="1">
      <alignment horizontal="center" vertical="center"/>
    </xf>
    <xf numFmtId="0" fontId="68" fillId="0" borderId="0" xfId="0" applyFont="1" applyAlignment="1">
      <alignment horizontal="left" vertical="center"/>
    </xf>
    <xf numFmtId="9" fontId="68" fillId="10" borderId="0" xfId="2" applyFont="1" applyFill="1" applyAlignment="1">
      <alignment vertical="center"/>
    </xf>
    <xf numFmtId="0" fontId="70" fillId="0" borderId="0" xfId="0" applyFont="1"/>
    <xf numFmtId="0" fontId="81" fillId="2" borderId="0" xfId="0" applyFont="1" applyFill="1"/>
    <xf numFmtId="0" fontId="58" fillId="12" borderId="7" xfId="0" applyFont="1" applyFill="1" applyBorder="1" applyAlignment="1">
      <alignment horizontal="center" vertical="center" wrapText="1"/>
    </xf>
    <xf numFmtId="0" fontId="82" fillId="0" borderId="3" xfId="0" applyFont="1" applyBorder="1" applyAlignment="1">
      <alignment horizontal="left" vertical="center" wrapText="1"/>
    </xf>
    <xf numFmtId="166" fontId="32" fillId="2" borderId="0" xfId="1" applyNumberFormat="1" applyFont="1" applyFill="1" applyBorder="1" applyAlignment="1">
      <alignment horizontal="right"/>
    </xf>
    <xf numFmtId="0" fontId="86" fillId="0" borderId="0" xfId="0" applyFont="1"/>
    <xf numFmtId="0" fontId="11" fillId="16" borderId="0" xfId="0" applyFont="1" applyFill="1" applyAlignment="1">
      <alignment horizontal="center" vertical="center"/>
    </xf>
    <xf numFmtId="0" fontId="60" fillId="0" borderId="3" xfId="0" applyFont="1" applyBorder="1" applyAlignment="1">
      <alignment horizontal="center" vertical="center"/>
    </xf>
    <xf numFmtId="164" fontId="60" fillId="17" borderId="3" xfId="0" applyNumberFormat="1" applyFont="1" applyFill="1" applyBorder="1" applyAlignment="1">
      <alignment horizontal="center" vertical="center"/>
    </xf>
    <xf numFmtId="0" fontId="12" fillId="0" borderId="3" xfId="0" applyFont="1" applyBorder="1" applyAlignment="1">
      <alignment horizontal="center" vertical="center"/>
    </xf>
    <xf numFmtId="10" fontId="24" fillId="0" borderId="0" xfId="2" applyNumberFormat="1" applyFont="1" applyBorder="1" applyAlignment="1">
      <alignment horizontal="right"/>
    </xf>
    <xf numFmtId="0" fontId="76" fillId="0" borderId="3" xfId="0" applyFont="1" applyBorder="1" applyAlignment="1">
      <alignment horizontal="center" vertical="center"/>
    </xf>
    <xf numFmtId="164" fontId="76" fillId="17" borderId="3" xfId="0" applyNumberFormat="1" applyFont="1" applyFill="1" applyBorder="1" applyAlignment="1">
      <alignment horizontal="center" vertical="center"/>
    </xf>
    <xf numFmtId="0" fontId="80" fillId="0" borderId="3" xfId="0" applyFont="1" applyBorder="1" applyAlignment="1">
      <alignment horizontal="center" vertical="center"/>
    </xf>
    <xf numFmtId="167" fontId="76" fillId="17" borderId="3" xfId="0" applyNumberFormat="1" applyFont="1" applyFill="1" applyBorder="1" applyAlignment="1">
      <alignment horizontal="center" vertical="center"/>
    </xf>
    <xf numFmtId="165" fontId="76" fillId="17" borderId="3"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9" fontId="98" fillId="10" borderId="6" xfId="2" applyFont="1" applyFill="1" applyBorder="1" applyAlignment="1">
      <alignment vertical="center"/>
    </xf>
    <xf numFmtId="10" fontId="8" fillId="0" borderId="0" xfId="2" applyNumberFormat="1" applyFont="1"/>
    <xf numFmtId="0" fontId="101" fillId="0" borderId="0" xfId="0" applyFont="1" applyAlignment="1">
      <alignment vertical="center"/>
    </xf>
    <xf numFmtId="0" fontId="102" fillId="0" borderId="3" xfId="0" applyFont="1" applyBorder="1" applyAlignment="1">
      <alignment horizontal="center"/>
    </xf>
    <xf numFmtId="9" fontId="8" fillId="0" borderId="0" xfId="2" applyFont="1"/>
    <xf numFmtId="43" fontId="8" fillId="0" borderId="0" xfId="1" applyFont="1"/>
    <xf numFmtId="0" fontId="100" fillId="6" borderId="0" xfId="0" applyFont="1" applyFill="1" applyAlignment="1">
      <alignment horizontal="center" vertical="center"/>
    </xf>
    <xf numFmtId="174" fontId="88" fillId="0" borderId="0" xfId="0" applyNumberFormat="1" applyFont="1" applyAlignment="1">
      <alignment horizontal="center"/>
    </xf>
    <xf numFmtId="0" fontId="101" fillId="0" borderId="0" xfId="0" applyFont="1" applyAlignment="1">
      <alignment horizontal="center" vertical="center"/>
    </xf>
    <xf numFmtId="0" fontId="58" fillId="12" borderId="7" xfId="0" applyFont="1" applyFill="1" applyBorder="1" applyAlignment="1">
      <alignment horizontal="center" vertical="center" wrapText="1"/>
    </xf>
    <xf numFmtId="0" fontId="0" fillId="0" borderId="0" xfId="0"/>
    <xf numFmtId="0" fontId="58" fillId="12" borderId="0" xfId="0" applyFont="1" applyFill="1" applyAlignment="1">
      <alignment horizontal="center" vertical="center" wrapText="1"/>
    </xf>
    <xf numFmtId="174" fontId="102" fillId="13" borderId="0" xfId="0" applyNumberFormat="1" applyFont="1" applyFill="1" applyAlignment="1">
      <alignment horizontal="center"/>
    </xf>
    <xf numFmtId="0" fontId="76" fillId="0" borderId="3" xfId="0" applyFont="1" applyBorder="1" applyAlignment="1">
      <alignment horizontal="center"/>
    </xf>
    <xf numFmtId="0" fontId="76" fillId="0" borderId="8" xfId="0" applyFont="1" applyBorder="1" applyAlignment="1">
      <alignment horizontal="center"/>
    </xf>
    <xf numFmtId="0" fontId="97" fillId="0" borderId="0" xfId="0" applyFont="1" applyAlignment="1">
      <alignment horizontal="center" vertical="center" wrapText="1"/>
    </xf>
    <xf numFmtId="0" fontId="96" fillId="6" borderId="0" xfId="0" applyFont="1" applyFill="1" applyAlignment="1">
      <alignment horizontal="center" vertical="center"/>
    </xf>
    <xf numFmtId="0" fontId="0" fillId="3" borderId="0" xfId="0" applyFill="1" applyAlignment="1">
      <alignment horizontal="center" vertical="center"/>
    </xf>
    <xf numFmtId="0" fontId="0" fillId="0" borderId="0" xfId="0" applyAlignment="1">
      <alignment horizontal="center"/>
    </xf>
    <xf numFmtId="0" fontId="99" fillId="6" borderId="0" xfId="0" applyFont="1" applyFill="1" applyAlignment="1">
      <alignment horizontal="center" vertical="center"/>
    </xf>
    <xf numFmtId="0" fontId="30" fillId="0" borderId="0" xfId="0" applyFont="1" applyAlignment="1">
      <alignment vertical="center"/>
    </xf>
    <xf numFmtId="0" fontId="0" fillId="0" borderId="0" xfId="0" applyAlignment="1">
      <alignment horizontal="center" vertical="center"/>
    </xf>
    <xf numFmtId="0" fontId="94" fillId="12" borderId="0" xfId="0" applyFont="1" applyFill="1" applyAlignment="1">
      <alignment horizontal="center" vertical="center"/>
    </xf>
    <xf numFmtId="0" fontId="95" fillId="6" borderId="0" xfId="0" applyFont="1" applyFill="1" applyAlignment="1">
      <alignment horizontal="center" vertical="center"/>
    </xf>
    <xf numFmtId="0" fontId="28" fillId="5" borderId="0" xfId="0" applyFont="1" applyFill="1" applyAlignment="1">
      <alignment horizontal="right" vertical="center"/>
    </xf>
    <xf numFmtId="0" fontId="30" fillId="5" borderId="0" xfId="0" applyFont="1" applyFill="1" applyAlignment="1">
      <alignment horizontal="right" vertical="center"/>
    </xf>
    <xf numFmtId="0" fontId="52" fillId="0" borderId="0" xfId="0" applyFont="1" applyAlignment="1">
      <alignment horizontal="center"/>
    </xf>
    <xf numFmtId="0" fontId="53" fillId="0" borderId="0" xfId="0" applyFont="1" applyAlignment="1">
      <alignment horizontal="center"/>
    </xf>
    <xf numFmtId="0" fontId="56" fillId="0" borderId="0" xfId="0" applyFont="1" applyAlignment="1">
      <alignment horizontal="center"/>
    </xf>
    <xf numFmtId="0" fontId="44" fillId="0" borderId="0" xfId="0" applyFont="1" applyAlignment="1">
      <alignment horizontal="left" vertical="center" wrapText="1"/>
    </xf>
    <xf numFmtId="0" fontId="52" fillId="0" borderId="0" xfId="0" applyFont="1" applyAlignment="1">
      <alignment horizontal="right"/>
    </xf>
    <xf numFmtId="0" fontId="53" fillId="0" borderId="0" xfId="0" applyFont="1" applyAlignment="1">
      <alignment horizontal="right"/>
    </xf>
    <xf numFmtId="0" fontId="55" fillId="0" borderId="0" xfId="0" applyFont="1" applyAlignment="1">
      <alignment horizontal="left" vertical="center" wrapText="1"/>
    </xf>
    <xf numFmtId="0" fontId="58" fillId="6" borderId="0" xfId="0" applyFont="1" applyFill="1" applyAlignment="1">
      <alignment horizontal="left"/>
    </xf>
    <xf numFmtId="0" fontId="63" fillId="8" borderId="0" xfId="0" applyFont="1" applyFill="1" applyAlignment="1">
      <alignment horizontal="center" vertical="top"/>
    </xf>
    <xf numFmtId="0" fontId="64" fillId="8" borderId="0" xfId="0" applyFont="1" applyFill="1" applyAlignment="1">
      <alignment horizontal="center"/>
    </xf>
    <xf numFmtId="0" fontId="38" fillId="8" borderId="0" xfId="0" applyFont="1" applyFill="1"/>
    <xf numFmtId="0" fontId="38" fillId="8" borderId="4" xfId="0" applyFont="1" applyFill="1" applyBorder="1"/>
    <xf numFmtId="0" fontId="71" fillId="0" borderId="0" xfId="0" applyFont="1" applyAlignment="1">
      <alignment horizontal="center" vertical="center"/>
    </xf>
    <xf numFmtId="0" fontId="72" fillId="0" borderId="0" xfId="0" applyFont="1" applyAlignment="1">
      <alignment horizontal="center" vertical="center"/>
    </xf>
    <xf numFmtId="0" fontId="73" fillId="0" borderId="0" xfId="0" applyFont="1" applyAlignment="1">
      <alignment horizontal="center" vertical="center"/>
    </xf>
    <xf numFmtId="0" fontId="74" fillId="0" borderId="0" xfId="0" applyFont="1" applyAlignment="1">
      <alignment horizontal="center"/>
    </xf>
    <xf numFmtId="0" fontId="79" fillId="3" borderId="0" xfId="0" applyFont="1" applyFill="1" applyAlignment="1">
      <alignment horizontal="center" vertical="center"/>
    </xf>
    <xf numFmtId="0" fontId="12" fillId="0" borderId="0" xfId="0" applyFont="1" applyAlignment="1">
      <alignment vertical="center"/>
    </xf>
    <xf numFmtId="0" fontId="67" fillId="6" borderId="0" xfId="0" applyFont="1" applyFill="1" applyAlignment="1">
      <alignment horizontal="center" vertical="center"/>
    </xf>
    <xf numFmtId="0" fontId="80" fillId="0" borderId="0" xfId="0" applyFont="1" applyAlignment="1">
      <alignment horizontal="center"/>
    </xf>
    <xf numFmtId="0" fontId="67" fillId="6" borderId="0" xfId="0" applyFont="1" applyFill="1" applyAlignment="1">
      <alignment horizontal="left" vertical="center"/>
    </xf>
    <xf numFmtId="0" fontId="82" fillId="0" borderId="3" xfId="0" applyFont="1" applyBorder="1" applyAlignment="1">
      <alignment horizontal="left" vertical="center" wrapText="1"/>
    </xf>
    <xf numFmtId="0" fontId="12" fillId="0" borderId="0" xfId="0" applyFont="1" applyAlignment="1">
      <alignment vertical="top" wrapText="1"/>
    </xf>
    <xf numFmtId="0" fontId="85" fillId="0" borderId="0" xfId="0" applyFont="1" applyAlignment="1">
      <alignment wrapText="1"/>
    </xf>
    <xf numFmtId="0" fontId="87" fillId="0" borderId="0" xfId="0" applyFont="1"/>
    <xf numFmtId="0" fontId="78" fillId="15" borderId="0" xfId="0" applyFont="1" applyFill="1" applyAlignment="1">
      <alignment horizontal="center" vertical="center"/>
    </xf>
    <xf numFmtId="0" fontId="91" fillId="15" borderId="9" xfId="0" applyFont="1" applyFill="1" applyBorder="1" applyAlignment="1">
      <alignment horizontal="center" vertical="center"/>
    </xf>
    <xf numFmtId="0" fontId="89" fillId="0" borderId="0" xfId="0" applyFont="1" applyAlignment="1">
      <alignment horizontal="center" vertical="center"/>
    </xf>
    <xf numFmtId="0" fontId="90" fillId="0" borderId="0" xfId="0" applyFont="1" applyAlignment="1">
      <alignment horizontal="center"/>
    </xf>
    <xf numFmtId="0" fontId="78" fillId="15" borderId="0" xfId="0" applyFont="1" applyFill="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69" fillId="0" borderId="0" xfId="0" applyFont="1" applyAlignment="1">
      <alignment horizontal="center" vertical="center" wrapText="1"/>
    </xf>
    <xf numFmtId="0" fontId="103" fillId="0" borderId="0" xfId="0" applyFont="1" applyAlignment="1">
      <alignment horizontal="center" vertical="center"/>
    </xf>
    <xf numFmtId="0" fontId="104" fillId="0" borderId="0" xfId="0" applyFont="1" applyAlignment="1">
      <alignment vertical="center"/>
    </xf>
    <xf numFmtId="14" fontId="81" fillId="2" borderId="0" xfId="0" applyNumberFormat="1" applyFont="1" applyFill="1" applyAlignment="1">
      <alignment horizontal="center"/>
    </xf>
    <xf numFmtId="0" fontId="81" fillId="2" borderId="0" xfId="0" applyFont="1" applyFill="1" applyAlignment="1">
      <alignment horizontal="center"/>
    </xf>
    <xf numFmtId="0" fontId="58" fillId="12" borderId="0" xfId="0" applyFont="1" applyFill="1" applyBorder="1" applyAlignment="1">
      <alignment horizontal="center" vertical="center" wrapText="1"/>
    </xf>
    <xf numFmtId="0" fontId="83" fillId="0" borderId="0" xfId="0" applyFont="1" applyBorder="1" applyAlignment="1">
      <alignment horizontal="left" vertical="center"/>
    </xf>
    <xf numFmtId="175" fontId="0" fillId="4" borderId="0" xfId="0" applyNumberFormat="1" applyFill="1" applyBorder="1" applyAlignment="1">
      <alignment horizontal="center"/>
    </xf>
    <xf numFmtId="3" fontId="0" fillId="4" borderId="0" xfId="0" applyNumberFormat="1" applyFill="1" applyBorder="1" applyAlignment="1">
      <alignment horizontal="center"/>
    </xf>
    <xf numFmtId="172" fontId="70" fillId="13" borderId="0" xfId="0" applyNumberFormat="1" applyFont="1" applyFill="1" applyBorder="1" applyAlignment="1">
      <alignment horizontal="center" vertical="center"/>
    </xf>
    <xf numFmtId="172" fontId="83" fillId="2" borderId="0" xfId="0" applyNumberFormat="1" applyFont="1" applyFill="1" applyBorder="1" applyAlignment="1">
      <alignment horizontal="center" vertical="center"/>
    </xf>
    <xf numFmtId="0" fontId="0" fillId="0" borderId="0" xfId="0" applyBorder="1"/>
    <xf numFmtId="0" fontId="67" fillId="6" borderId="0" xfId="0" applyFont="1" applyFill="1" applyBorder="1" applyAlignment="1">
      <alignment horizontal="center" vertical="center"/>
    </xf>
    <xf numFmtId="0" fontId="58" fillId="12" borderId="0" xfId="0" applyFont="1" applyFill="1" applyBorder="1" applyAlignment="1">
      <alignment horizontal="center" vertical="center" wrapText="1"/>
    </xf>
    <xf numFmtId="4" fontId="70" fillId="14" borderId="0" xfId="0" applyNumberFormat="1" applyFont="1" applyFill="1" applyBorder="1" applyAlignment="1">
      <alignment horizontal="center"/>
    </xf>
    <xf numFmtId="4" fontId="84" fillId="0" borderId="0" xfId="0" applyNumberFormat="1" applyFont="1" applyBorder="1" applyAlignment="1">
      <alignment horizontal="center"/>
    </xf>
    <xf numFmtId="0" fontId="83" fillId="0" borderId="0" xfId="0" applyFont="1" applyBorder="1" applyAlignment="1">
      <alignment horizontal="center" vertical="center"/>
    </xf>
    <xf numFmtId="176" fontId="83" fillId="0" borderId="0" xfId="0" applyNumberFormat="1" applyFont="1" applyBorder="1" applyAlignment="1">
      <alignment horizontal="center" vertical="center"/>
    </xf>
    <xf numFmtId="0" fontId="0" fillId="0" borderId="0" xfId="0" applyBorder="1" applyAlignment="1">
      <alignment horizontal="center"/>
    </xf>
    <xf numFmtId="0" fontId="67" fillId="6" borderId="0" xfId="0" applyFont="1" applyFill="1" applyBorder="1" applyAlignment="1">
      <alignment horizontal="center" vertical="center"/>
    </xf>
    <xf numFmtId="173" fontId="83" fillId="0" borderId="0" xfId="0" applyNumberFormat="1" applyFont="1" applyBorder="1" applyAlignment="1">
      <alignment horizontal="center"/>
    </xf>
    <xf numFmtId="0" fontId="0" fillId="0" borderId="0" xfId="0" applyBorder="1" applyAlignment="1">
      <alignment horizontal="center"/>
    </xf>
    <xf numFmtId="0" fontId="68" fillId="0" borderId="0" xfId="0" applyFont="1" applyBorder="1" applyAlignment="1">
      <alignment horizontal="center"/>
    </xf>
    <xf numFmtId="4" fontId="68" fillId="0" borderId="0" xfId="0" applyNumberFormat="1" applyFont="1" applyBorder="1" applyAlignment="1">
      <alignment horizontal="center"/>
    </xf>
    <xf numFmtId="173" fontId="68" fillId="2" borderId="0" xfId="0" applyNumberFormat="1" applyFont="1" applyFill="1" applyBorder="1" applyAlignment="1">
      <alignment horizontal="center"/>
    </xf>
    <xf numFmtId="174" fontId="70" fillId="13" borderId="0" xfId="0" applyNumberFormat="1" applyFont="1" applyFill="1" applyBorder="1" applyAlignment="1">
      <alignment horizontal="center"/>
    </xf>
    <xf numFmtId="0" fontId="68" fillId="0" borderId="0" xfId="0" applyFont="1" applyBorder="1" applyAlignment="1">
      <alignment horizontal="center"/>
    </xf>
    <xf numFmtId="174" fontId="68" fillId="0" borderId="0" xfId="0" applyNumberFormat="1" applyFont="1" applyBorder="1" applyAlignment="1">
      <alignment horizontal="center"/>
    </xf>
    <xf numFmtId="0" fontId="8" fillId="0" borderId="0" xfId="0" applyFont="1" applyFill="1"/>
    <xf numFmtId="0" fontId="21" fillId="0" borderId="0" xfId="0" applyFont="1" applyFill="1"/>
    <xf numFmtId="0" fontId="13" fillId="0" borderId="0" xfId="0" applyFont="1" applyFill="1"/>
    <xf numFmtId="0" fontId="9" fillId="0" borderId="0" xfId="0" applyFont="1" applyFill="1"/>
    <xf numFmtId="174" fontId="105" fillId="13" borderId="0" xfId="0" applyNumberFormat="1" applyFont="1" applyFill="1" applyAlignment="1">
      <alignment horizontal="center" vertical="center"/>
    </xf>
    <xf numFmtId="0" fontId="106" fillId="0" borderId="0" xfId="0" applyFont="1"/>
    <xf numFmtId="0" fontId="110" fillId="13" borderId="0" xfId="0" applyFont="1" applyFill="1" applyAlignment="1">
      <alignment horizontal="center" vertical="center"/>
    </xf>
    <xf numFmtId="0" fontId="106" fillId="0" borderId="0" xfId="0" applyFont="1"/>
    <xf numFmtId="164" fontId="105" fillId="13" borderId="0" xfId="0" applyNumberFormat="1" applyFont="1" applyFill="1" applyAlignment="1">
      <alignment horizontal="center" vertical="center"/>
    </xf>
    <xf numFmtId="0" fontId="107" fillId="18" borderId="0" xfId="0" applyFont="1" applyFill="1" applyAlignment="1">
      <alignment horizontal="center"/>
    </xf>
    <xf numFmtId="164" fontId="111" fillId="19" borderId="0" xfId="0" applyNumberFormat="1" applyFont="1" applyFill="1" applyAlignment="1">
      <alignment horizontal="center"/>
    </xf>
    <xf numFmtId="0" fontId="108" fillId="0" borderId="0" xfId="0" applyFont="1" applyAlignment="1">
      <alignment horizontal="center"/>
    </xf>
    <xf numFmtId="2" fontId="111" fillId="19" borderId="0" xfId="0" applyNumberFormat="1" applyFont="1" applyFill="1" applyAlignment="1">
      <alignment horizontal="center"/>
    </xf>
    <xf numFmtId="0" fontId="109" fillId="18" borderId="0" xfId="0" applyFont="1" applyFill="1" applyAlignment="1">
      <alignment horizontal="center"/>
    </xf>
    <xf numFmtId="164" fontId="112" fillId="19" borderId="0" xfId="0" applyNumberFormat="1" applyFont="1" applyFill="1" applyAlignment="1">
      <alignment horizontal="center"/>
    </xf>
    <xf numFmtId="0" fontId="8" fillId="0" borderId="0" xfId="0" applyFont="1" applyAlignment="1">
      <alignment horizontal="center"/>
    </xf>
    <xf numFmtId="0" fontId="113" fillId="12" borderId="0" xfId="0" applyFont="1" applyFill="1" applyAlignment="1">
      <alignment horizontal="center" vertical="center"/>
    </xf>
    <xf numFmtId="0" fontId="108" fillId="0" borderId="0" xfId="0" applyFont="1"/>
    <xf numFmtId="174" fontId="111" fillId="19" borderId="0" xfId="0" applyNumberFormat="1" applyFont="1" applyFill="1" applyAlignment="1">
      <alignment horizontal="center"/>
    </xf>
    <xf numFmtId="0" fontId="114" fillId="12" borderId="0" xfId="3" applyFont="1" applyFill="1" applyBorder="1" applyAlignment="1">
      <alignment horizontal="center" vertical="center"/>
    </xf>
    <xf numFmtId="0" fontId="115" fillId="0" borderId="0" xfId="0" applyFont="1" applyAlignment="1">
      <alignment horizontal="center" vertical="center"/>
    </xf>
    <xf numFmtId="0" fontId="116" fillId="0" borderId="0" xfId="0" applyFont="1" applyAlignment="1">
      <alignment horizontal="left" vertical="center"/>
    </xf>
    <xf numFmtId="0" fontId="20" fillId="3" borderId="1" xfId="0" applyFont="1" applyFill="1" applyBorder="1" applyAlignment="1">
      <alignment horizontal="center"/>
    </xf>
    <xf numFmtId="43" fontId="68" fillId="10" borderId="6" xfId="1" applyFont="1" applyFill="1" applyBorder="1" applyAlignment="1">
      <alignment vertical="center"/>
    </xf>
    <xf numFmtId="0" fontId="117" fillId="0" borderId="0" xfId="0" applyFont="1"/>
    <xf numFmtId="0" fontId="91" fillId="16" borderId="0" xfId="0" applyFont="1" applyFill="1" applyAlignment="1">
      <alignment horizontal="center" vertical="center"/>
    </xf>
    <xf numFmtId="0" fontId="118" fillId="0" borderId="3" xfId="0" applyFont="1" applyBorder="1" applyAlignment="1">
      <alignment horizontal="left" vertical="center" wrapText="1"/>
    </xf>
    <xf numFmtId="0" fontId="0" fillId="0" borderId="0" xfId="0" applyFont="1"/>
    <xf numFmtId="0" fontId="119" fillId="0" borderId="0" xfId="0" applyFont="1" applyAlignment="1">
      <alignment horizontal="center" vertical="center"/>
    </xf>
    <xf numFmtId="0" fontId="120" fillId="0" borderId="0" xfId="0" applyFont="1" applyAlignment="1">
      <alignment horizontal="center" vertical="center"/>
    </xf>
    <xf numFmtId="0" fontId="121" fillId="0" borderId="0" xfId="0" applyFont="1" applyAlignment="1">
      <alignment horizontal="center" vertical="center"/>
    </xf>
  </cellXfs>
  <cellStyles count="4">
    <cellStyle name="Comma" xfId="1" builtinId="3"/>
    <cellStyle name="Hyperlink" xfId="3" builtinId="8"/>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06/relationships/rdSupportingPropertyBagStructure" Target="richData/rdsupportingpropertybagstructure.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ichStyles" Target="richData/rich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solidFill>
              <a:schemeClr val="accent1"/>
            </a:solidFill>
            <a:ln>
              <a:noFill/>
            </a:ln>
            <a:effectLst/>
          </c:spPr>
          <c:invertIfNegative val="0"/>
          <c:cat>
            <c:strRef>
              <c:f>FS!$D$4:$R$4</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CHARTS!$H$21:$V$21</c:f>
              <c:numCache>
                <c:formatCode>_(* #,##0_);_(* \(#,##0\);_(* "-"??_);_(@_)</c:formatCode>
                <c:ptCount val="15"/>
                <c:pt idx="0">
                  <c:v>1023601</c:v>
                </c:pt>
                <c:pt idx="1">
                  <c:v>1315371</c:v>
                </c:pt>
                <c:pt idx="2">
                  <c:v>1670052</c:v>
                </c:pt>
                <c:pt idx="3">
                  <c:v>1845327</c:v>
                </c:pt>
                <c:pt idx="4">
                  <c:v>1944444</c:v>
                </c:pt>
                <c:pt idx="5">
                  <c:v>2083373.222428025</c:v>
                </c:pt>
                <c:pt idx="6">
                  <c:v>2229209.3479979872</c:v>
                </c:pt>
                <c:pt idx="7">
                  <c:v>2374107.9556178562</c:v>
                </c:pt>
                <c:pt idx="8">
                  <c:v>2528424.9727330171</c:v>
                </c:pt>
                <c:pt idx="9">
                  <c:v>2680130.4710969981</c:v>
                </c:pt>
                <c:pt idx="10">
                  <c:v>2840938.2993628187</c:v>
                </c:pt>
                <c:pt idx="11">
                  <c:v>2997189.9058277733</c:v>
                </c:pt>
                <c:pt idx="12">
                  <c:v>3162035.3506483003</c:v>
                </c:pt>
                <c:pt idx="13">
                  <c:v>3320137.1181807155</c:v>
                </c:pt>
                <c:pt idx="14">
                  <c:v>3486143.9740897515</c:v>
                </c:pt>
              </c:numCache>
            </c:numRef>
          </c:val>
          <c:extLst>
            <c:ext xmlns:c16="http://schemas.microsoft.com/office/drawing/2014/chart" uri="{C3380CC4-5D6E-409C-BE32-E72D297353CC}">
              <c16:uniqueId val="{00000000-78FD-FB44-BD74-BC11EA94410D}"/>
            </c:ext>
          </c:extLst>
        </c:ser>
        <c:dLbls>
          <c:showLegendKey val="0"/>
          <c:showVal val="0"/>
          <c:showCatName val="0"/>
          <c:showSerName val="0"/>
          <c:showPercent val="0"/>
          <c:showBubbleSize val="0"/>
        </c:dLbls>
        <c:gapWidth val="219"/>
        <c:axId val="941064544"/>
        <c:axId val="983407648"/>
      </c:barChart>
      <c:lineChart>
        <c:grouping val="standard"/>
        <c:varyColors val="0"/>
        <c:ser>
          <c:idx val="1"/>
          <c:order val="1"/>
          <c:tx>
            <c:v>EBITDA</c:v>
          </c:tx>
          <c:spPr>
            <a:ln w="57150" cap="rnd">
              <a:solidFill>
                <a:schemeClr val="accent2"/>
              </a:solidFill>
              <a:round/>
            </a:ln>
            <a:effectLst>
              <a:glow>
                <a:schemeClr val="accent1">
                  <a:alpha val="40000"/>
                </a:schemeClr>
              </a:glow>
              <a:outerShdw blurRad="50800" dist="50800" dir="5400000" sx="1000" sy="1000" algn="ctr" rotWithShape="0">
                <a:srgbClr val="000000">
                  <a:alpha val="43137"/>
                </a:srgbClr>
              </a:outerShdw>
              <a:softEdge rad="0"/>
            </a:effectLst>
          </c:spPr>
          <c:marker>
            <c:symbol val="none"/>
          </c:marker>
          <c:val>
            <c:numRef>
              <c:f>CHARTS!$H$56:$V$56</c:f>
              <c:numCache>
                <c:formatCode>_(* #,##0_);_(* \(#,##0\);_(* "-"??_);_(@_)</c:formatCode>
                <c:ptCount val="15"/>
                <c:pt idx="0">
                  <c:v>42409</c:v>
                </c:pt>
                <c:pt idx="1">
                  <c:v>72641</c:v>
                </c:pt>
                <c:pt idx="2">
                  <c:v>63254</c:v>
                </c:pt>
                <c:pt idx="3">
                  <c:v>76993</c:v>
                </c:pt>
                <c:pt idx="4">
                  <c:v>85095</c:v>
                </c:pt>
                <c:pt idx="5">
                  <c:v>87107.401944421552</c:v>
                </c:pt>
                <c:pt idx="6">
                  <c:v>103478.17358233046</c:v>
                </c:pt>
                <c:pt idx="7">
                  <c:v>153116.93642647771</c:v>
                </c:pt>
                <c:pt idx="8">
                  <c:v>201748.5191312918</c:v>
                </c:pt>
                <c:pt idx="9">
                  <c:v>253753.20954129213</c:v>
                </c:pt>
                <c:pt idx="10">
                  <c:v>310147.14317443344</c:v>
                </c:pt>
                <c:pt idx="11">
                  <c:v>353813.07273537596</c:v>
                </c:pt>
                <c:pt idx="12">
                  <c:v>400839.43606656924</c:v>
                </c:pt>
                <c:pt idx="13">
                  <c:v>449308.88160752063</c:v>
                </c:pt>
                <c:pt idx="14">
                  <c:v>501092.41261264664</c:v>
                </c:pt>
              </c:numCache>
            </c:numRef>
          </c:val>
          <c:smooth val="0"/>
          <c:extLst>
            <c:ext xmlns:c16="http://schemas.microsoft.com/office/drawing/2014/chart" uri="{C3380CC4-5D6E-409C-BE32-E72D297353CC}">
              <c16:uniqueId val="{00000001-78FD-FB44-BD74-BC11EA94410D}"/>
            </c:ext>
          </c:extLst>
        </c:ser>
        <c:dLbls>
          <c:showLegendKey val="0"/>
          <c:showVal val="0"/>
          <c:showCatName val="0"/>
          <c:showSerName val="0"/>
          <c:showPercent val="0"/>
          <c:showBubbleSize val="0"/>
        </c:dLbls>
        <c:marker val="1"/>
        <c:smooth val="0"/>
        <c:axId val="293828576"/>
        <c:axId val="293703648"/>
      </c:lineChart>
      <c:catAx>
        <c:axId val="9410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07648"/>
        <c:crosses val="autoZero"/>
        <c:auto val="1"/>
        <c:lblAlgn val="ctr"/>
        <c:lblOffset val="100"/>
        <c:noMultiLvlLbl val="0"/>
      </c:catAx>
      <c:valAx>
        <c:axId val="9834076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64544"/>
        <c:crosses val="autoZero"/>
        <c:crossBetween val="between"/>
      </c:valAx>
      <c:valAx>
        <c:axId val="293703648"/>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28576"/>
        <c:crosses val="max"/>
        <c:crossBetween val="between"/>
      </c:valAx>
      <c:catAx>
        <c:axId val="293828576"/>
        <c:scaling>
          <c:orientation val="minMax"/>
        </c:scaling>
        <c:delete val="1"/>
        <c:axPos val="b"/>
        <c:majorTickMark val="out"/>
        <c:minorTickMark val="none"/>
        <c:tickLblPos val="nextTo"/>
        <c:crossAx val="293703648"/>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CHARTS!$A$296</c:f>
              <c:strCache>
                <c:ptCount val="1"/>
                <c:pt idx="0">
                  <c:v>Revenue Growth</c:v>
                </c:pt>
              </c:strCache>
            </c:strRef>
          </c:tx>
          <c:spPr>
            <a:solidFill>
              <a:schemeClr val="accent1"/>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CHARTS!$B$296:$P$296</c:f>
              <c:numCache>
                <c:formatCode>0.00%</c:formatCode>
                <c:ptCount val="15"/>
                <c:pt idx="0" formatCode="General">
                  <c:v>0</c:v>
                </c:pt>
                <c:pt idx="1">
                  <c:v>0.28845761141043957</c:v>
                </c:pt>
                <c:pt idx="2">
                  <c:v>0.26875887692091993</c:v>
                </c:pt>
                <c:pt idx="3">
                  <c:v>0.10380341467135179</c:v>
                </c:pt>
                <c:pt idx="4">
                  <c:v>5.5986741771960391E-2</c:v>
                </c:pt>
                <c:pt idx="5">
                  <c:v>7.0000000000000007E-2</c:v>
                </c:pt>
                <c:pt idx="6">
                  <c:v>7.0000000000000007E-2</c:v>
                </c:pt>
                <c:pt idx="7">
                  <c:v>6.5000000000000002E-2</c:v>
                </c:pt>
                <c:pt idx="8">
                  <c:v>6.5000000000000002E-2</c:v>
                </c:pt>
                <c:pt idx="9">
                  <c:v>0.06</c:v>
                </c:pt>
                <c:pt idx="10">
                  <c:v>0.06</c:v>
                </c:pt>
                <c:pt idx="11">
                  <c:v>5.5E-2</c:v>
                </c:pt>
                <c:pt idx="12">
                  <c:v>5.5E-2</c:v>
                </c:pt>
                <c:pt idx="13">
                  <c:v>0.05</c:v>
                </c:pt>
                <c:pt idx="14">
                  <c:v>0.05</c:v>
                </c:pt>
              </c:numCache>
            </c:numRef>
          </c:val>
          <c:extLst>
            <c:ext xmlns:c16="http://schemas.microsoft.com/office/drawing/2014/chart" uri="{C3380CC4-5D6E-409C-BE32-E72D297353CC}">
              <c16:uniqueId val="{00000000-0A36-7F40-B907-C803A7637EB7}"/>
            </c:ext>
          </c:extLst>
        </c:ser>
        <c:ser>
          <c:idx val="1"/>
          <c:order val="1"/>
          <c:tx>
            <c:strRef>
              <c:f>CHARTS!$A$297</c:f>
              <c:strCache>
                <c:ptCount val="1"/>
                <c:pt idx="0">
                  <c:v>EBITDA Growth</c:v>
                </c:pt>
              </c:strCache>
            </c:strRef>
          </c:tx>
          <c:spPr>
            <a:solidFill>
              <a:schemeClr val="accent2"/>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CHARTS!$B$297:$P$297</c:f>
              <c:numCache>
                <c:formatCode>0.00%</c:formatCode>
                <c:ptCount val="15"/>
                <c:pt idx="0" formatCode="General">
                  <c:v>0</c:v>
                </c:pt>
                <c:pt idx="1">
                  <c:v>0.71286755169893179</c:v>
                </c:pt>
                <c:pt idx="2">
                  <c:v>-0.12922454261367544</c:v>
                </c:pt>
                <c:pt idx="3">
                  <c:v>0.21720365510481554</c:v>
                </c:pt>
                <c:pt idx="4">
                  <c:v>0.10523034561583522</c:v>
                </c:pt>
                <c:pt idx="5">
                  <c:v>2.3648885885440452E-2</c:v>
                </c:pt>
                <c:pt idx="6">
                  <c:v>0.18793777879351969</c:v>
                </c:pt>
                <c:pt idx="7">
                  <c:v>0.47970273465112045</c:v>
                </c:pt>
                <c:pt idx="8">
                  <c:v>0.31761073490498926</c:v>
                </c:pt>
                <c:pt idx="9">
                  <c:v>0.25776987426687015</c:v>
                </c:pt>
                <c:pt idx="10">
                  <c:v>0.22223929200771186</c:v>
                </c:pt>
                <c:pt idx="11">
                  <c:v>0.14079101007996009</c:v>
                </c:pt>
                <c:pt idx="12">
                  <c:v>0.13291301807371392</c:v>
                </c:pt>
                <c:pt idx="13">
                  <c:v>0.12091985263870564</c:v>
                </c:pt>
                <c:pt idx="14">
                  <c:v>0.11525151877669737</c:v>
                </c:pt>
              </c:numCache>
            </c:numRef>
          </c:val>
          <c:extLst>
            <c:ext xmlns:c16="http://schemas.microsoft.com/office/drawing/2014/chart" uri="{C3380CC4-5D6E-409C-BE32-E72D297353CC}">
              <c16:uniqueId val="{00000001-0A36-7F40-B907-C803A7637EB7}"/>
            </c:ext>
          </c:extLst>
        </c:ser>
        <c:ser>
          <c:idx val="2"/>
          <c:order val="2"/>
          <c:tx>
            <c:strRef>
              <c:f>CHARTS!$A$298</c:f>
              <c:strCache>
                <c:ptCount val="1"/>
                <c:pt idx="0">
                  <c:v>EBIT Growth</c:v>
                </c:pt>
              </c:strCache>
            </c:strRef>
          </c:tx>
          <c:spPr>
            <a:solidFill>
              <a:schemeClr val="accent3"/>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CHARTS!$B$298:$P$298</c:f>
              <c:numCache>
                <c:formatCode>0.00%</c:formatCode>
                <c:ptCount val="15"/>
                <c:pt idx="0" formatCode="General">
                  <c:v>0</c:v>
                </c:pt>
                <c:pt idx="1">
                  <c:v>1.651082882132445</c:v>
                </c:pt>
                <c:pt idx="2">
                  <c:v>-0.17137975727583366</c:v>
                </c:pt>
                <c:pt idx="3">
                  <c:v>0.32250266619267687</c:v>
                </c:pt>
                <c:pt idx="4">
                  <c:v>0.1074135799150584</c:v>
                </c:pt>
                <c:pt idx="5">
                  <c:v>-9.7918138973664082E-2</c:v>
                </c:pt>
                <c:pt idx="6">
                  <c:v>0.25428698393498128</c:v>
                </c:pt>
                <c:pt idx="7">
                  <c:v>0.678727234714257</c:v>
                </c:pt>
                <c:pt idx="8">
                  <c:v>0.39452217024090142</c:v>
                </c:pt>
                <c:pt idx="9">
                  <c:v>0.3037556414345608</c:v>
                </c:pt>
                <c:pt idx="10">
                  <c:v>0.25291036755481389</c:v>
                </c:pt>
                <c:pt idx="11">
                  <c:v>0.1545124790146355</c:v>
                </c:pt>
                <c:pt idx="12">
                  <c:v>0.14430036839175675</c:v>
                </c:pt>
                <c:pt idx="13">
                  <c:v>0.13047622140312587</c:v>
                </c:pt>
                <c:pt idx="14">
                  <c:v>0.12341816171002407</c:v>
                </c:pt>
              </c:numCache>
            </c:numRef>
          </c:val>
          <c:extLst>
            <c:ext xmlns:c16="http://schemas.microsoft.com/office/drawing/2014/chart" uri="{C3380CC4-5D6E-409C-BE32-E72D297353CC}">
              <c16:uniqueId val="{00000002-0A36-7F40-B907-C803A7637EB7}"/>
            </c:ext>
          </c:extLst>
        </c:ser>
        <c:ser>
          <c:idx val="3"/>
          <c:order val="3"/>
          <c:tx>
            <c:strRef>
              <c:f>CHARTS!$A$299</c:f>
              <c:strCache>
                <c:ptCount val="1"/>
                <c:pt idx="0">
                  <c:v>PAT Growth</c:v>
                </c:pt>
              </c:strCache>
            </c:strRef>
          </c:tx>
          <c:spPr>
            <a:solidFill>
              <a:schemeClr val="accent4"/>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CHARTS!$B$299:$P$299</c:f>
              <c:numCache>
                <c:formatCode>0%</c:formatCode>
                <c:ptCount val="15"/>
                <c:pt idx="0">
                  <c:v>0</c:v>
                </c:pt>
                <c:pt idx="1">
                  <c:v>2.2160238952824387</c:v>
                </c:pt>
                <c:pt idx="2">
                  <c:v>-0.16772290209790208</c:v>
                </c:pt>
                <c:pt idx="3">
                  <c:v>0.34849678351056856</c:v>
                </c:pt>
                <c:pt idx="4">
                  <c:v>7.6790147495497285E-2</c:v>
                </c:pt>
                <c:pt idx="5">
                  <c:v>-0.14864038370648214</c:v>
                </c:pt>
                <c:pt idx="6">
                  <c:v>0.2609273145224551</c:v>
                </c:pt>
                <c:pt idx="7">
                  <c:v>0.69749290838391409</c:v>
                </c:pt>
                <c:pt idx="8">
                  <c:v>0.40084359600651398</c:v>
                </c:pt>
                <c:pt idx="9">
                  <c:v>0.30731068590257271</c:v>
                </c:pt>
                <c:pt idx="10">
                  <c:v>0.25519161809368285</c:v>
                </c:pt>
                <c:pt idx="11">
                  <c:v>0.15550626025897607</c:v>
                </c:pt>
                <c:pt idx="12">
                  <c:v>0.14511459756371203</c:v>
                </c:pt>
                <c:pt idx="13">
                  <c:v>0.13115224910575196</c:v>
                </c:pt>
                <c:pt idx="14">
                  <c:v>0.12399065270281184</c:v>
                </c:pt>
              </c:numCache>
            </c:numRef>
          </c:val>
          <c:extLst>
            <c:ext xmlns:c16="http://schemas.microsoft.com/office/drawing/2014/chart" uri="{C3380CC4-5D6E-409C-BE32-E72D297353CC}">
              <c16:uniqueId val="{00000003-0A36-7F40-B907-C803A7637EB7}"/>
            </c:ext>
          </c:extLst>
        </c:ser>
        <c:dLbls>
          <c:showLegendKey val="0"/>
          <c:showVal val="0"/>
          <c:showCatName val="0"/>
          <c:showSerName val="0"/>
          <c:showPercent val="0"/>
          <c:showBubbleSize val="0"/>
        </c:dLbls>
        <c:gapWidth val="150"/>
        <c:axId val="348414032"/>
        <c:axId val="348415760"/>
      </c:barChart>
      <c:catAx>
        <c:axId val="3484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48415760"/>
        <c:crosses val="autoZero"/>
        <c:auto val="1"/>
        <c:lblAlgn val="ctr"/>
        <c:lblOffset val="100"/>
        <c:noMultiLvlLbl val="0"/>
      </c:catAx>
      <c:valAx>
        <c:axId val="34841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4841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CHARTS!$A$321</c:f>
              <c:strCache>
                <c:ptCount val="1"/>
                <c:pt idx="0">
                  <c:v>ROE</c:v>
                </c:pt>
              </c:strCache>
            </c:strRef>
          </c:tx>
          <c:spPr>
            <a:ln w="28575" cap="rnd">
              <a:solidFill>
                <a:schemeClr val="accent1"/>
              </a:solidFill>
              <a:round/>
            </a:ln>
            <a:effectLst/>
          </c:spPr>
          <c:marker>
            <c:symbol val="none"/>
          </c:marker>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CHARTS!$B$321:$P$321</c:f>
              <c:numCache>
                <c:formatCode>0%</c:formatCode>
                <c:ptCount val="15"/>
                <c:pt idx="0">
                  <c:v>3.174262345825328E-2</c:v>
                </c:pt>
                <c:pt idx="1">
                  <c:v>9.2931159659428414E-2</c:v>
                </c:pt>
                <c:pt idx="2">
                  <c:v>7.6755258848721503E-2</c:v>
                </c:pt>
                <c:pt idx="3">
                  <c:v>9.8208224574286018E-2</c:v>
                </c:pt>
                <c:pt idx="4">
                  <c:v>0.10124632692853416</c:v>
                </c:pt>
                <c:pt idx="5">
                  <c:v>8.279977674183131E-2</c:v>
                </c:pt>
                <c:pt idx="6">
                  <c:v>9.9461602421831233E-2</c:v>
                </c:pt>
                <c:pt idx="7">
                  <c:v>0.15627613421983522</c:v>
                </c:pt>
                <c:pt idx="8">
                  <c:v>0.19825882727042607</c:v>
                </c:pt>
                <c:pt idx="9">
                  <c:v>0.23072123267875941</c:v>
                </c:pt>
                <c:pt idx="10">
                  <c:v>0.25451468737875149</c:v>
                </c:pt>
                <c:pt idx="11">
                  <c:v>0.25797921278471964</c:v>
                </c:pt>
                <c:pt idx="12">
                  <c:v>0.25899625253351033</c:v>
                </c:pt>
                <c:pt idx="13">
                  <c:v>0.25710996334294889</c:v>
                </c:pt>
                <c:pt idx="14">
                  <c:v>0.25404329078840893</c:v>
                </c:pt>
              </c:numCache>
            </c:numRef>
          </c:val>
          <c:smooth val="0"/>
          <c:extLst>
            <c:ext xmlns:c16="http://schemas.microsoft.com/office/drawing/2014/chart" uri="{C3380CC4-5D6E-409C-BE32-E72D297353CC}">
              <c16:uniqueId val="{00000000-8C04-B448-ACAE-8CC074AD5659}"/>
            </c:ext>
          </c:extLst>
        </c:ser>
        <c:ser>
          <c:idx val="1"/>
          <c:order val="1"/>
          <c:tx>
            <c:strRef>
              <c:f>CHARTS!$A$322</c:f>
              <c:strCache>
                <c:ptCount val="1"/>
                <c:pt idx="0">
                  <c:v>ROCE</c:v>
                </c:pt>
              </c:strCache>
            </c:strRef>
          </c:tx>
          <c:spPr>
            <a:ln w="28575" cap="rnd">
              <a:solidFill>
                <a:schemeClr val="accent2"/>
              </a:solidFill>
              <a:round/>
            </a:ln>
            <a:effectLst/>
          </c:spPr>
          <c:marker>
            <c:symbol val="none"/>
          </c:marker>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CHARTS!$B$322:$P$322</c:f>
              <c:numCache>
                <c:formatCode>0%</c:formatCode>
                <c:ptCount val="15"/>
                <c:pt idx="0">
                  <c:v>5.1718381458066322E-2</c:v>
                </c:pt>
                <c:pt idx="1">
                  <c:v>0.12811532945882709</c:v>
                </c:pt>
                <c:pt idx="2">
                  <c:v>0.10541028696479829</c:v>
                </c:pt>
                <c:pt idx="3">
                  <c:v>0.13210186921197659</c:v>
                </c:pt>
                <c:pt idx="4">
                  <c:v>0.13918932920099644</c:v>
                </c:pt>
                <c:pt idx="5">
                  <c:v>0.12162641601200451</c:v>
                </c:pt>
                <c:pt idx="6">
                  <c:v>0.14627341675143576</c:v>
                </c:pt>
                <c:pt idx="7">
                  <c:v>0.23078958152425877</c:v>
                </c:pt>
                <c:pt idx="8">
                  <c:v>0.29469540678511558</c:v>
                </c:pt>
                <c:pt idx="9">
                  <c:v>0.3451115941222116</c:v>
                </c:pt>
                <c:pt idx="10">
                  <c:v>0.38269058986279147</c:v>
                </c:pt>
                <c:pt idx="11">
                  <c:v>0.38639872612112397</c:v>
                </c:pt>
                <c:pt idx="12">
                  <c:v>0.38663774634944575</c:v>
                </c:pt>
                <c:pt idx="13">
                  <c:v>0.38256641862555413</c:v>
                </c:pt>
                <c:pt idx="14">
                  <c:v>0.37689344189745499</c:v>
                </c:pt>
              </c:numCache>
            </c:numRef>
          </c:val>
          <c:smooth val="0"/>
          <c:extLst>
            <c:ext xmlns:c16="http://schemas.microsoft.com/office/drawing/2014/chart" uri="{C3380CC4-5D6E-409C-BE32-E72D297353CC}">
              <c16:uniqueId val="{00000001-8C04-B448-ACAE-8CC074AD5659}"/>
            </c:ext>
          </c:extLst>
        </c:ser>
        <c:dLbls>
          <c:showLegendKey val="0"/>
          <c:showVal val="0"/>
          <c:showCatName val="0"/>
          <c:showSerName val="0"/>
          <c:showPercent val="0"/>
          <c:showBubbleSize val="0"/>
        </c:dLbls>
        <c:smooth val="0"/>
        <c:axId val="390830544"/>
        <c:axId val="390832256"/>
      </c:lineChart>
      <c:catAx>
        <c:axId val="39083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90832256"/>
        <c:crosses val="autoZero"/>
        <c:auto val="1"/>
        <c:lblAlgn val="ctr"/>
        <c:lblOffset val="100"/>
        <c:noMultiLvlLbl val="0"/>
      </c:catAx>
      <c:valAx>
        <c:axId val="390832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3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FCFF</c:v>
          </c:tx>
          <c:spPr>
            <a:solidFill>
              <a:schemeClr val="accent1"/>
            </a:solidFill>
            <a:ln>
              <a:noFill/>
            </a:ln>
            <a:effectLst/>
          </c:spPr>
          <c:invertIfNegative val="0"/>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CHARTS!$B$326:$P$326</c:f>
              <c:numCache>
                <c:formatCode>#,##0.00;\(#,##0.00\)</c:formatCode>
                <c:ptCount val="15"/>
                <c:pt idx="0">
                  <c:v>5.1718381458066322E-2</c:v>
                </c:pt>
                <c:pt idx="1">
                  <c:v>0.12811532945882709</c:v>
                </c:pt>
                <c:pt idx="2">
                  <c:v>0.10541028696479829</c:v>
                </c:pt>
                <c:pt idx="3">
                  <c:v>0.13210186921197659</c:v>
                </c:pt>
                <c:pt idx="4">
                  <c:v>0.13918932920099644</c:v>
                </c:pt>
                <c:pt idx="5">
                  <c:v>0.12162641601200451</c:v>
                </c:pt>
                <c:pt idx="6">
                  <c:v>0.14627341675143576</c:v>
                </c:pt>
                <c:pt idx="7">
                  <c:v>0.23078958152425877</c:v>
                </c:pt>
                <c:pt idx="8">
                  <c:v>0.29469540678511558</c:v>
                </c:pt>
                <c:pt idx="9">
                  <c:v>0.3451115941222116</c:v>
                </c:pt>
                <c:pt idx="10">
                  <c:v>0.38269058986279147</c:v>
                </c:pt>
                <c:pt idx="11">
                  <c:v>0.38639872612112397</c:v>
                </c:pt>
                <c:pt idx="12">
                  <c:v>0.38663774634944575</c:v>
                </c:pt>
                <c:pt idx="13">
                  <c:v>0.38256641862555413</c:v>
                </c:pt>
                <c:pt idx="14">
                  <c:v>0.37689344189745499</c:v>
                </c:pt>
              </c:numCache>
            </c:numRef>
          </c:val>
          <c:extLst>
            <c:ext xmlns:c16="http://schemas.microsoft.com/office/drawing/2014/chart" uri="{C3380CC4-5D6E-409C-BE32-E72D297353CC}">
              <c16:uniqueId val="{00000000-59AD-7B4C-8ACF-1CEB1C4F2911}"/>
            </c:ext>
          </c:extLst>
        </c:ser>
        <c:ser>
          <c:idx val="1"/>
          <c:order val="1"/>
          <c:tx>
            <c:v>FCFE</c:v>
          </c:tx>
          <c:spPr>
            <a:solidFill>
              <a:schemeClr val="accent2"/>
            </a:solidFill>
            <a:ln>
              <a:noFill/>
            </a:ln>
            <a:effectLst/>
          </c:spPr>
          <c:invertIfNegative val="0"/>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CHARTS!$B$327:$P$327</c:f>
              <c:numCache>
                <c:formatCode>#,##0.00;\(#,##0.00\)</c:formatCode>
                <c:ptCount val="15"/>
                <c:pt idx="0">
                  <c:v>0.10343676291613264</c:v>
                </c:pt>
                <c:pt idx="1">
                  <c:v>0.25623065891765417</c:v>
                </c:pt>
                <c:pt idx="2">
                  <c:v>0.21082057392959658</c:v>
                </c:pt>
                <c:pt idx="3">
                  <c:v>0.26420373842395317</c:v>
                </c:pt>
                <c:pt idx="4">
                  <c:v>0.27837865840199288</c:v>
                </c:pt>
                <c:pt idx="5">
                  <c:v>0.24325283202400902</c:v>
                </c:pt>
                <c:pt idx="6">
                  <c:v>0.29254683350287153</c:v>
                </c:pt>
                <c:pt idx="7">
                  <c:v>0.46157916304851754</c:v>
                </c:pt>
                <c:pt idx="8">
                  <c:v>0.58939081357023115</c:v>
                </c:pt>
                <c:pt idx="9">
                  <c:v>0.69022318824442319</c:v>
                </c:pt>
                <c:pt idx="10">
                  <c:v>0.76538117972558295</c:v>
                </c:pt>
                <c:pt idx="11">
                  <c:v>0.77279745224224794</c:v>
                </c:pt>
                <c:pt idx="12">
                  <c:v>0.77327549269889151</c:v>
                </c:pt>
                <c:pt idx="13">
                  <c:v>0.76513283725110826</c:v>
                </c:pt>
                <c:pt idx="14">
                  <c:v>0.75378688379490999</c:v>
                </c:pt>
              </c:numCache>
            </c:numRef>
          </c:val>
          <c:extLst>
            <c:ext xmlns:c16="http://schemas.microsoft.com/office/drawing/2014/chart" uri="{C3380CC4-5D6E-409C-BE32-E72D297353CC}">
              <c16:uniqueId val="{00000001-59AD-7B4C-8ACF-1CEB1C4F2911}"/>
            </c:ext>
          </c:extLst>
        </c:ser>
        <c:dLbls>
          <c:showLegendKey val="0"/>
          <c:showVal val="0"/>
          <c:showCatName val="0"/>
          <c:showSerName val="0"/>
          <c:showPercent val="0"/>
          <c:showBubbleSize val="0"/>
        </c:dLbls>
        <c:gapWidth val="219"/>
        <c:overlap val="-27"/>
        <c:axId val="763618800"/>
        <c:axId val="763620512"/>
      </c:barChart>
      <c:catAx>
        <c:axId val="7636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63620512"/>
        <c:crosses val="autoZero"/>
        <c:auto val="1"/>
        <c:lblAlgn val="ctr"/>
        <c:lblOffset val="100"/>
        <c:noMultiLvlLbl val="0"/>
      </c:catAx>
      <c:valAx>
        <c:axId val="76362051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1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CHARTS!$A$63</c:f>
              <c:strCache>
                <c:ptCount val="1"/>
                <c:pt idx="0">
                  <c:v>Trade Receivables Days</c:v>
                </c:pt>
              </c:strCache>
            </c:strRef>
          </c:tx>
          <c:spPr>
            <a:ln w="28575" cap="rnd">
              <a:solidFill>
                <a:schemeClr val="accent1"/>
              </a:solidFill>
              <a:round/>
            </a:ln>
            <a:effectLst/>
          </c:spPr>
          <c:marker>
            <c:symbol val="none"/>
          </c:marker>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CHARTS!$H$63:$V$63</c:f>
              <c:numCache>
                <c:formatCode>0</c:formatCode>
                <c:ptCount val="15"/>
                <c:pt idx="0">
                  <c:v>49.988547737233155</c:v>
                </c:pt>
                <c:pt idx="1">
                  <c:v>34.899930813354544</c:v>
                </c:pt>
                <c:pt idx="2">
                  <c:v>30.849139605875653</c:v>
                </c:pt>
                <c:pt idx="3">
                  <c:v>46.076555820524248</c:v>
                </c:pt>
                <c:pt idx="4">
                  <c:v>53.797449473273112</c:v>
                </c:pt>
                <c:pt idx="5">
                  <c:v>43.122324690052139</c:v>
                </c:pt>
                <c:pt idx="6">
                  <c:v>43.122324690052139</c:v>
                </c:pt>
                <c:pt idx="7">
                  <c:v>43.122324690052139</c:v>
                </c:pt>
                <c:pt idx="8">
                  <c:v>43.122324690052139</c:v>
                </c:pt>
                <c:pt idx="9">
                  <c:v>43.122324690052139</c:v>
                </c:pt>
                <c:pt idx="10">
                  <c:v>43.122324690052139</c:v>
                </c:pt>
                <c:pt idx="11">
                  <c:v>43.122324690052139</c:v>
                </c:pt>
                <c:pt idx="12">
                  <c:v>43.122324690052139</c:v>
                </c:pt>
                <c:pt idx="13">
                  <c:v>43.122324690052139</c:v>
                </c:pt>
                <c:pt idx="14">
                  <c:v>43.122324690052139</c:v>
                </c:pt>
              </c:numCache>
            </c:numRef>
          </c:val>
          <c:smooth val="0"/>
          <c:extLst>
            <c:ext xmlns:c16="http://schemas.microsoft.com/office/drawing/2014/chart" uri="{C3380CC4-5D6E-409C-BE32-E72D297353CC}">
              <c16:uniqueId val="{00000000-83DB-0045-B730-BAFF5C13F302}"/>
            </c:ext>
          </c:extLst>
        </c:ser>
        <c:ser>
          <c:idx val="1"/>
          <c:order val="1"/>
          <c:tx>
            <c:strRef>
              <c:f>CHARTS!$A$64</c:f>
              <c:strCache>
                <c:ptCount val="1"/>
                <c:pt idx="0">
                  <c:v>Inventory Days</c:v>
                </c:pt>
              </c:strCache>
            </c:strRef>
          </c:tx>
          <c:spPr>
            <a:ln w="28575" cap="rnd">
              <a:solidFill>
                <a:schemeClr val="accent2"/>
              </a:solidFill>
              <a:round/>
            </a:ln>
            <a:effectLst/>
          </c:spPr>
          <c:marker>
            <c:symbol val="none"/>
          </c:marker>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CHARTS!$H$64:$V$64</c:f>
              <c:numCache>
                <c:formatCode>0</c:formatCode>
                <c:ptCount val="15"/>
                <c:pt idx="0">
                  <c:v>204.44187112256512</c:v>
                </c:pt>
                <c:pt idx="1">
                  <c:v>116.73159337279401</c:v>
                </c:pt>
                <c:pt idx="2">
                  <c:v>122.18210186244538</c:v>
                </c:pt>
                <c:pt idx="3">
                  <c:v>107.67866562060033</c:v>
                </c:pt>
                <c:pt idx="4">
                  <c:v>116.40441668261482</c:v>
                </c:pt>
                <c:pt idx="5">
                  <c:v>133.48772973220395</c:v>
                </c:pt>
                <c:pt idx="6">
                  <c:v>133.48772973220395</c:v>
                </c:pt>
                <c:pt idx="7">
                  <c:v>133.48772973220395</c:v>
                </c:pt>
                <c:pt idx="8">
                  <c:v>133.48772973220395</c:v>
                </c:pt>
                <c:pt idx="9">
                  <c:v>133.48772973220395</c:v>
                </c:pt>
                <c:pt idx="10">
                  <c:v>133.48772973220395</c:v>
                </c:pt>
                <c:pt idx="11">
                  <c:v>133.48772973220395</c:v>
                </c:pt>
                <c:pt idx="12">
                  <c:v>133.48772973220395</c:v>
                </c:pt>
                <c:pt idx="13">
                  <c:v>133.48772973220395</c:v>
                </c:pt>
                <c:pt idx="14">
                  <c:v>133.48772973220395</c:v>
                </c:pt>
              </c:numCache>
            </c:numRef>
          </c:val>
          <c:smooth val="0"/>
          <c:extLst>
            <c:ext xmlns:c16="http://schemas.microsoft.com/office/drawing/2014/chart" uri="{C3380CC4-5D6E-409C-BE32-E72D297353CC}">
              <c16:uniqueId val="{00000001-83DB-0045-B730-BAFF5C13F302}"/>
            </c:ext>
          </c:extLst>
        </c:ser>
        <c:ser>
          <c:idx val="2"/>
          <c:order val="2"/>
          <c:tx>
            <c:strRef>
              <c:f>CHARTS!$A$65</c:f>
              <c:strCache>
                <c:ptCount val="1"/>
                <c:pt idx="0">
                  <c:v>Trade Payables Days</c:v>
                </c:pt>
              </c:strCache>
            </c:strRef>
          </c:tx>
          <c:spPr>
            <a:ln w="28575" cap="rnd">
              <a:solidFill>
                <a:schemeClr val="accent3"/>
              </a:solidFill>
              <a:round/>
            </a:ln>
            <a:effectLst/>
          </c:spPr>
          <c:marker>
            <c:symbol val="none"/>
          </c:marker>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CHARTS!$H$65:$V$65</c:f>
              <c:numCache>
                <c:formatCode>0</c:formatCode>
                <c:ptCount val="15"/>
                <c:pt idx="0">
                  <c:v>110.6491340791713</c:v>
                </c:pt>
                <c:pt idx="1">
                  <c:v>80.213977424210583</c:v>
                </c:pt>
                <c:pt idx="2">
                  <c:v>60.617039166317291</c:v>
                </c:pt>
                <c:pt idx="3">
                  <c:v>74.081843015066795</c:v>
                </c:pt>
                <c:pt idx="4">
                  <c:v>81.974838184066726</c:v>
                </c:pt>
                <c:pt idx="5">
                  <c:v>81.50736637376653</c:v>
                </c:pt>
                <c:pt idx="6">
                  <c:v>81.50736637376653</c:v>
                </c:pt>
                <c:pt idx="7">
                  <c:v>81.50736637376653</c:v>
                </c:pt>
                <c:pt idx="8">
                  <c:v>81.50736637376653</c:v>
                </c:pt>
                <c:pt idx="9">
                  <c:v>81.50736637376653</c:v>
                </c:pt>
                <c:pt idx="10">
                  <c:v>81.50736637376653</c:v>
                </c:pt>
                <c:pt idx="11">
                  <c:v>81.50736637376653</c:v>
                </c:pt>
                <c:pt idx="12">
                  <c:v>81.50736637376653</c:v>
                </c:pt>
                <c:pt idx="13">
                  <c:v>81.50736637376653</c:v>
                </c:pt>
                <c:pt idx="14">
                  <c:v>81.50736637376653</c:v>
                </c:pt>
              </c:numCache>
            </c:numRef>
          </c:val>
          <c:smooth val="0"/>
          <c:extLst>
            <c:ext xmlns:c16="http://schemas.microsoft.com/office/drawing/2014/chart" uri="{C3380CC4-5D6E-409C-BE32-E72D297353CC}">
              <c16:uniqueId val="{00000002-83DB-0045-B730-BAFF5C13F302}"/>
            </c:ext>
          </c:extLst>
        </c:ser>
        <c:dLbls>
          <c:showLegendKey val="0"/>
          <c:showVal val="0"/>
          <c:showCatName val="0"/>
          <c:showSerName val="0"/>
          <c:showPercent val="0"/>
          <c:showBubbleSize val="0"/>
        </c:dLbls>
        <c:smooth val="0"/>
        <c:axId val="2045255007"/>
        <c:axId val="2045524735"/>
      </c:lineChart>
      <c:catAx>
        <c:axId val="204525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24735"/>
        <c:crosses val="autoZero"/>
        <c:auto val="1"/>
        <c:lblAlgn val="ctr"/>
        <c:lblOffset val="100"/>
        <c:noMultiLvlLbl val="0"/>
      </c:catAx>
      <c:valAx>
        <c:axId val="2045524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25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solidFill>
              <a:schemeClr val="accent1"/>
            </a:solidFill>
            <a:ln>
              <a:noFill/>
            </a:ln>
            <a:effectLst/>
          </c:spPr>
          <c:invertIfNegative val="0"/>
          <c:dPt>
            <c:idx val="5"/>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0-1855-9B43-9008-3DE139B0BCC0}"/>
              </c:ext>
            </c:extLst>
          </c:dPt>
          <c:dPt>
            <c:idx val="6"/>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1855-9B43-9008-3DE139B0BCC0}"/>
              </c:ext>
            </c:extLst>
          </c:dPt>
          <c:dPt>
            <c:idx val="7"/>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1855-9B43-9008-3DE139B0BCC0}"/>
              </c:ext>
            </c:extLst>
          </c:dPt>
          <c:dPt>
            <c:idx val="8"/>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1855-9B43-9008-3DE139B0BCC0}"/>
              </c:ext>
            </c:extLst>
          </c:dPt>
          <c:dPt>
            <c:idx val="9"/>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4-1855-9B43-9008-3DE139B0BCC0}"/>
              </c:ext>
            </c:extLst>
          </c:dPt>
          <c:dPt>
            <c:idx val="1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1855-9B43-9008-3DE139B0BCC0}"/>
              </c:ext>
            </c:extLst>
          </c:dPt>
          <c:dPt>
            <c:idx val="1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6-1855-9B43-9008-3DE139B0BCC0}"/>
              </c:ext>
            </c:extLst>
          </c:dPt>
          <c:dPt>
            <c:idx val="1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7-1855-9B43-9008-3DE139B0BCC0}"/>
              </c:ext>
            </c:extLst>
          </c:dPt>
          <c:dPt>
            <c:idx val="1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8-1855-9B43-9008-3DE139B0BCC0}"/>
              </c:ext>
            </c:extLst>
          </c:dPt>
          <c:dPt>
            <c:idx val="1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1855-9B43-9008-3DE139B0BCC0}"/>
              </c:ext>
            </c:extLst>
          </c:dPt>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CHARTS!$H$21:$V$21</c:f>
              <c:numCache>
                <c:formatCode>_(* #,##0_);_(* \(#,##0\);_(* "-"??_);_(@_)</c:formatCode>
                <c:ptCount val="15"/>
                <c:pt idx="0">
                  <c:v>1023601</c:v>
                </c:pt>
                <c:pt idx="1">
                  <c:v>1315371</c:v>
                </c:pt>
                <c:pt idx="2">
                  <c:v>1670052</c:v>
                </c:pt>
                <c:pt idx="3">
                  <c:v>1845327</c:v>
                </c:pt>
                <c:pt idx="4">
                  <c:v>1944444</c:v>
                </c:pt>
                <c:pt idx="5">
                  <c:v>2083373.222428025</c:v>
                </c:pt>
                <c:pt idx="6">
                  <c:v>2229209.3479979872</c:v>
                </c:pt>
                <c:pt idx="7">
                  <c:v>2374107.9556178562</c:v>
                </c:pt>
                <c:pt idx="8">
                  <c:v>2528424.9727330171</c:v>
                </c:pt>
                <c:pt idx="9">
                  <c:v>2680130.4710969981</c:v>
                </c:pt>
                <c:pt idx="10">
                  <c:v>2840938.2993628187</c:v>
                </c:pt>
                <c:pt idx="11">
                  <c:v>2997189.9058277733</c:v>
                </c:pt>
                <c:pt idx="12">
                  <c:v>3162035.3506483003</c:v>
                </c:pt>
                <c:pt idx="13">
                  <c:v>3320137.1181807155</c:v>
                </c:pt>
                <c:pt idx="14">
                  <c:v>3486143.9740897515</c:v>
                </c:pt>
              </c:numCache>
            </c:numRef>
          </c:val>
          <c:extLst>
            <c:ext xmlns:c16="http://schemas.microsoft.com/office/drawing/2014/chart" uri="{C3380CC4-5D6E-409C-BE32-E72D297353CC}">
              <c16:uniqueId val="{00000000-3644-9543-9254-3753B5BA8011}"/>
            </c:ext>
          </c:extLst>
        </c:ser>
        <c:dLbls>
          <c:showLegendKey val="0"/>
          <c:showVal val="0"/>
          <c:showCatName val="0"/>
          <c:showSerName val="0"/>
          <c:showPercent val="0"/>
          <c:showBubbleSize val="0"/>
        </c:dLbls>
        <c:gapWidth val="219"/>
        <c:axId val="941064544"/>
        <c:axId val="983407648"/>
      </c:barChart>
      <c:lineChart>
        <c:grouping val="standard"/>
        <c:varyColors val="0"/>
        <c:ser>
          <c:idx val="1"/>
          <c:order val="1"/>
          <c:tx>
            <c:v>EBITDA</c:v>
          </c:tx>
          <c:spPr>
            <a:ln w="57150" cap="rnd">
              <a:solidFill>
                <a:schemeClr val="accent2"/>
              </a:solidFill>
              <a:round/>
            </a:ln>
            <a:effectLst>
              <a:glow>
                <a:schemeClr val="accent1">
                  <a:alpha val="40000"/>
                </a:schemeClr>
              </a:glow>
              <a:outerShdw blurRad="50800" dist="50800" dir="5400000" sx="1000" sy="1000" algn="ctr" rotWithShape="0">
                <a:srgbClr val="000000">
                  <a:alpha val="43137"/>
                </a:srgbClr>
              </a:outerShdw>
              <a:softEdge rad="0"/>
            </a:effectLst>
          </c:spPr>
          <c:marker>
            <c:symbol val="none"/>
          </c:marker>
          <c:val>
            <c:numRef>
              <c:f>CHARTS!$H$56:$V$56</c:f>
              <c:numCache>
                <c:formatCode>_(* #,##0_);_(* \(#,##0\);_(* "-"??_);_(@_)</c:formatCode>
                <c:ptCount val="15"/>
                <c:pt idx="0">
                  <c:v>42409</c:v>
                </c:pt>
                <c:pt idx="1">
                  <c:v>72641</c:v>
                </c:pt>
                <c:pt idx="2">
                  <c:v>63254</c:v>
                </c:pt>
                <c:pt idx="3">
                  <c:v>76993</c:v>
                </c:pt>
                <c:pt idx="4">
                  <c:v>85095</c:v>
                </c:pt>
                <c:pt idx="5">
                  <c:v>87107.401944421552</c:v>
                </c:pt>
                <c:pt idx="6">
                  <c:v>103478.17358233046</c:v>
                </c:pt>
                <c:pt idx="7">
                  <c:v>153116.93642647771</c:v>
                </c:pt>
                <c:pt idx="8">
                  <c:v>201748.5191312918</c:v>
                </c:pt>
                <c:pt idx="9">
                  <c:v>253753.20954129213</c:v>
                </c:pt>
                <c:pt idx="10">
                  <c:v>310147.14317443344</c:v>
                </c:pt>
                <c:pt idx="11">
                  <c:v>353813.07273537596</c:v>
                </c:pt>
                <c:pt idx="12">
                  <c:v>400839.43606656924</c:v>
                </c:pt>
                <c:pt idx="13">
                  <c:v>449308.88160752063</c:v>
                </c:pt>
                <c:pt idx="14">
                  <c:v>501092.41261264664</c:v>
                </c:pt>
              </c:numCache>
            </c:numRef>
          </c:val>
          <c:smooth val="0"/>
          <c:extLst>
            <c:ext xmlns:c16="http://schemas.microsoft.com/office/drawing/2014/chart" uri="{C3380CC4-5D6E-409C-BE32-E72D297353CC}">
              <c16:uniqueId val="{00000001-3644-9543-9254-3753B5BA8011}"/>
            </c:ext>
          </c:extLst>
        </c:ser>
        <c:dLbls>
          <c:showLegendKey val="0"/>
          <c:showVal val="0"/>
          <c:showCatName val="0"/>
          <c:showSerName val="0"/>
          <c:showPercent val="0"/>
          <c:showBubbleSize val="0"/>
        </c:dLbls>
        <c:marker val="1"/>
        <c:smooth val="0"/>
        <c:axId val="293828576"/>
        <c:axId val="293703648"/>
      </c:lineChart>
      <c:catAx>
        <c:axId val="94106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83407648"/>
        <c:crosses val="autoZero"/>
        <c:auto val="1"/>
        <c:lblAlgn val="ctr"/>
        <c:lblOffset val="100"/>
        <c:noMultiLvlLbl val="1"/>
      </c:catAx>
      <c:valAx>
        <c:axId val="9834076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064544"/>
        <c:crosses val="autoZero"/>
        <c:crossBetween val="between"/>
      </c:valAx>
      <c:valAx>
        <c:axId val="293703648"/>
        <c:scaling>
          <c:orientation val="minMax"/>
        </c:scaling>
        <c:delete val="0"/>
        <c:axPos val="r"/>
        <c:minorGridlines>
          <c:spPr>
            <a:ln w="9525" cap="flat" cmpd="sng" algn="ctr">
              <a:solidFill>
                <a:schemeClr val="tx1">
                  <a:lumMod val="5000"/>
                  <a:lumOff val="95000"/>
                </a:schemeClr>
              </a:solidFill>
              <a:round/>
            </a:ln>
            <a:effectLst/>
          </c:spPr>
        </c:min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828576"/>
        <c:crosses val="max"/>
        <c:crossBetween val="between"/>
      </c:valAx>
      <c:catAx>
        <c:axId val="293828576"/>
        <c:scaling>
          <c:orientation val="minMax"/>
        </c:scaling>
        <c:delete val="1"/>
        <c:axPos val="b"/>
        <c:majorTickMark val="out"/>
        <c:minorTickMark val="none"/>
        <c:tickLblPos val="nextTo"/>
        <c:crossAx val="293703648"/>
        <c:crosses val="autoZero"/>
        <c:auto val="1"/>
        <c:lblAlgn val="ctr"/>
        <c:lblOffset val="100"/>
        <c:noMultiLvlLbl val="0"/>
      </c:catAx>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CHARTS!$A$296</c:f>
              <c:strCache>
                <c:ptCount val="1"/>
                <c:pt idx="0">
                  <c:v>Revenue Growth</c:v>
                </c:pt>
              </c:strCache>
            </c:strRef>
          </c:tx>
          <c:spPr>
            <a:solidFill>
              <a:schemeClr val="accent1"/>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CHARTS!$B$296:$P$296</c:f>
              <c:numCache>
                <c:formatCode>0.00%</c:formatCode>
                <c:ptCount val="15"/>
                <c:pt idx="0" formatCode="General">
                  <c:v>0</c:v>
                </c:pt>
                <c:pt idx="1">
                  <c:v>0.28845761141043957</c:v>
                </c:pt>
                <c:pt idx="2">
                  <c:v>0.26875887692091993</c:v>
                </c:pt>
                <c:pt idx="3">
                  <c:v>0.10380341467135179</c:v>
                </c:pt>
                <c:pt idx="4">
                  <c:v>5.5986741771960391E-2</c:v>
                </c:pt>
                <c:pt idx="5">
                  <c:v>7.0000000000000007E-2</c:v>
                </c:pt>
                <c:pt idx="6">
                  <c:v>7.0000000000000007E-2</c:v>
                </c:pt>
                <c:pt idx="7">
                  <c:v>6.5000000000000002E-2</c:v>
                </c:pt>
                <c:pt idx="8">
                  <c:v>6.5000000000000002E-2</c:v>
                </c:pt>
                <c:pt idx="9">
                  <c:v>0.06</c:v>
                </c:pt>
                <c:pt idx="10">
                  <c:v>0.06</c:v>
                </c:pt>
                <c:pt idx="11">
                  <c:v>5.5E-2</c:v>
                </c:pt>
                <c:pt idx="12">
                  <c:v>5.5E-2</c:v>
                </c:pt>
                <c:pt idx="13">
                  <c:v>0.05</c:v>
                </c:pt>
                <c:pt idx="14">
                  <c:v>0.05</c:v>
                </c:pt>
              </c:numCache>
            </c:numRef>
          </c:val>
          <c:extLst>
            <c:ext xmlns:c16="http://schemas.microsoft.com/office/drawing/2014/chart" uri="{C3380CC4-5D6E-409C-BE32-E72D297353CC}">
              <c16:uniqueId val="{00000000-2F7E-0F43-8C91-DA3911EAC34C}"/>
            </c:ext>
          </c:extLst>
        </c:ser>
        <c:ser>
          <c:idx val="1"/>
          <c:order val="1"/>
          <c:tx>
            <c:strRef>
              <c:f>CHARTS!$A$297</c:f>
              <c:strCache>
                <c:ptCount val="1"/>
                <c:pt idx="0">
                  <c:v>EBITDA Growth</c:v>
                </c:pt>
              </c:strCache>
            </c:strRef>
          </c:tx>
          <c:spPr>
            <a:solidFill>
              <a:schemeClr val="accent2"/>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CHARTS!$B$297:$P$297</c:f>
              <c:numCache>
                <c:formatCode>0.00%</c:formatCode>
                <c:ptCount val="15"/>
                <c:pt idx="0" formatCode="General">
                  <c:v>0</c:v>
                </c:pt>
                <c:pt idx="1">
                  <c:v>0.71286755169893179</c:v>
                </c:pt>
                <c:pt idx="2">
                  <c:v>-0.12922454261367544</c:v>
                </c:pt>
                <c:pt idx="3">
                  <c:v>0.21720365510481554</c:v>
                </c:pt>
                <c:pt idx="4">
                  <c:v>0.10523034561583522</c:v>
                </c:pt>
                <c:pt idx="5">
                  <c:v>2.3648885885440452E-2</c:v>
                </c:pt>
                <c:pt idx="6">
                  <c:v>0.18793777879351969</c:v>
                </c:pt>
                <c:pt idx="7">
                  <c:v>0.47970273465112045</c:v>
                </c:pt>
                <c:pt idx="8">
                  <c:v>0.31761073490498926</c:v>
                </c:pt>
                <c:pt idx="9">
                  <c:v>0.25776987426687015</c:v>
                </c:pt>
                <c:pt idx="10">
                  <c:v>0.22223929200771186</c:v>
                </c:pt>
                <c:pt idx="11">
                  <c:v>0.14079101007996009</c:v>
                </c:pt>
                <c:pt idx="12">
                  <c:v>0.13291301807371392</c:v>
                </c:pt>
                <c:pt idx="13">
                  <c:v>0.12091985263870564</c:v>
                </c:pt>
                <c:pt idx="14">
                  <c:v>0.11525151877669737</c:v>
                </c:pt>
              </c:numCache>
            </c:numRef>
          </c:val>
          <c:extLst>
            <c:ext xmlns:c16="http://schemas.microsoft.com/office/drawing/2014/chart" uri="{C3380CC4-5D6E-409C-BE32-E72D297353CC}">
              <c16:uniqueId val="{00000001-2F7E-0F43-8C91-DA3911EAC34C}"/>
            </c:ext>
          </c:extLst>
        </c:ser>
        <c:ser>
          <c:idx val="2"/>
          <c:order val="2"/>
          <c:tx>
            <c:strRef>
              <c:f>CHARTS!$A$298</c:f>
              <c:strCache>
                <c:ptCount val="1"/>
                <c:pt idx="0">
                  <c:v>EBIT Growth</c:v>
                </c:pt>
              </c:strCache>
            </c:strRef>
          </c:tx>
          <c:spPr>
            <a:solidFill>
              <a:schemeClr val="accent3"/>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CHARTS!$B$298:$P$298</c:f>
              <c:numCache>
                <c:formatCode>0.00%</c:formatCode>
                <c:ptCount val="15"/>
                <c:pt idx="0" formatCode="General">
                  <c:v>0</c:v>
                </c:pt>
                <c:pt idx="1">
                  <c:v>1.651082882132445</c:v>
                </c:pt>
                <c:pt idx="2">
                  <c:v>-0.17137975727583366</c:v>
                </c:pt>
                <c:pt idx="3">
                  <c:v>0.32250266619267687</c:v>
                </c:pt>
                <c:pt idx="4">
                  <c:v>0.1074135799150584</c:v>
                </c:pt>
                <c:pt idx="5">
                  <c:v>-9.7918138973664082E-2</c:v>
                </c:pt>
                <c:pt idx="6">
                  <c:v>0.25428698393498128</c:v>
                </c:pt>
                <c:pt idx="7">
                  <c:v>0.678727234714257</c:v>
                </c:pt>
                <c:pt idx="8">
                  <c:v>0.39452217024090142</c:v>
                </c:pt>
                <c:pt idx="9">
                  <c:v>0.3037556414345608</c:v>
                </c:pt>
                <c:pt idx="10">
                  <c:v>0.25291036755481389</c:v>
                </c:pt>
                <c:pt idx="11">
                  <c:v>0.1545124790146355</c:v>
                </c:pt>
                <c:pt idx="12">
                  <c:v>0.14430036839175675</c:v>
                </c:pt>
                <c:pt idx="13">
                  <c:v>0.13047622140312587</c:v>
                </c:pt>
                <c:pt idx="14">
                  <c:v>0.12341816171002407</c:v>
                </c:pt>
              </c:numCache>
            </c:numRef>
          </c:val>
          <c:extLst>
            <c:ext xmlns:c16="http://schemas.microsoft.com/office/drawing/2014/chart" uri="{C3380CC4-5D6E-409C-BE32-E72D297353CC}">
              <c16:uniqueId val="{00000002-2F7E-0F43-8C91-DA3911EAC34C}"/>
            </c:ext>
          </c:extLst>
        </c:ser>
        <c:ser>
          <c:idx val="3"/>
          <c:order val="3"/>
          <c:tx>
            <c:strRef>
              <c:f>CHARTS!$A$299</c:f>
              <c:strCache>
                <c:ptCount val="1"/>
                <c:pt idx="0">
                  <c:v>PAT Growth</c:v>
                </c:pt>
              </c:strCache>
            </c:strRef>
          </c:tx>
          <c:spPr>
            <a:solidFill>
              <a:schemeClr val="accent4"/>
            </a:solidFill>
            <a:ln>
              <a:noFill/>
            </a:ln>
            <a:effectLst/>
          </c:spPr>
          <c:invertIfNegative val="0"/>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CHARTS!$B$299:$P$299</c:f>
              <c:numCache>
                <c:formatCode>0%</c:formatCode>
                <c:ptCount val="15"/>
                <c:pt idx="0">
                  <c:v>0</c:v>
                </c:pt>
                <c:pt idx="1">
                  <c:v>2.2160238952824387</c:v>
                </c:pt>
                <c:pt idx="2">
                  <c:v>-0.16772290209790208</c:v>
                </c:pt>
                <c:pt idx="3">
                  <c:v>0.34849678351056856</c:v>
                </c:pt>
                <c:pt idx="4">
                  <c:v>7.6790147495497285E-2</c:v>
                </c:pt>
                <c:pt idx="5">
                  <c:v>-0.14864038370648214</c:v>
                </c:pt>
                <c:pt idx="6">
                  <c:v>0.2609273145224551</c:v>
                </c:pt>
                <c:pt idx="7">
                  <c:v>0.69749290838391409</c:v>
                </c:pt>
                <c:pt idx="8">
                  <c:v>0.40084359600651398</c:v>
                </c:pt>
                <c:pt idx="9">
                  <c:v>0.30731068590257271</c:v>
                </c:pt>
                <c:pt idx="10">
                  <c:v>0.25519161809368285</c:v>
                </c:pt>
                <c:pt idx="11">
                  <c:v>0.15550626025897607</c:v>
                </c:pt>
                <c:pt idx="12">
                  <c:v>0.14511459756371203</c:v>
                </c:pt>
                <c:pt idx="13">
                  <c:v>0.13115224910575196</c:v>
                </c:pt>
                <c:pt idx="14">
                  <c:v>0.12399065270281184</c:v>
                </c:pt>
              </c:numCache>
            </c:numRef>
          </c:val>
          <c:extLst>
            <c:ext xmlns:c16="http://schemas.microsoft.com/office/drawing/2014/chart" uri="{C3380CC4-5D6E-409C-BE32-E72D297353CC}">
              <c16:uniqueId val="{00000003-2F7E-0F43-8C91-DA3911EAC34C}"/>
            </c:ext>
          </c:extLst>
        </c:ser>
        <c:dLbls>
          <c:showLegendKey val="0"/>
          <c:showVal val="0"/>
          <c:showCatName val="0"/>
          <c:showSerName val="0"/>
          <c:showPercent val="0"/>
          <c:showBubbleSize val="0"/>
        </c:dLbls>
        <c:gapWidth val="150"/>
        <c:axId val="348414032"/>
        <c:axId val="348415760"/>
      </c:barChart>
      <c:catAx>
        <c:axId val="3484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15760"/>
        <c:crosses val="autoZero"/>
        <c:auto val="1"/>
        <c:lblAlgn val="ctr"/>
        <c:lblOffset val="100"/>
        <c:noMultiLvlLbl val="0"/>
      </c:catAx>
      <c:valAx>
        <c:axId val="34841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414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CHARTS!$A$321</c:f>
              <c:strCache>
                <c:ptCount val="1"/>
                <c:pt idx="0">
                  <c:v>ROE</c:v>
                </c:pt>
              </c:strCache>
            </c:strRef>
          </c:tx>
          <c:spPr>
            <a:ln w="28575" cap="rnd">
              <a:solidFill>
                <a:schemeClr val="accent1"/>
              </a:solidFill>
              <a:round/>
            </a:ln>
            <a:effectLst/>
          </c:spPr>
          <c:marker>
            <c:symbol val="none"/>
          </c:marker>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CHARTS!$B$321:$P$321</c:f>
              <c:numCache>
                <c:formatCode>0%</c:formatCode>
                <c:ptCount val="15"/>
                <c:pt idx="0">
                  <c:v>3.174262345825328E-2</c:v>
                </c:pt>
                <c:pt idx="1">
                  <c:v>9.2931159659428414E-2</c:v>
                </c:pt>
                <c:pt idx="2">
                  <c:v>7.6755258848721503E-2</c:v>
                </c:pt>
                <c:pt idx="3">
                  <c:v>9.8208224574286018E-2</c:v>
                </c:pt>
                <c:pt idx="4">
                  <c:v>0.10124632692853416</c:v>
                </c:pt>
                <c:pt idx="5">
                  <c:v>8.279977674183131E-2</c:v>
                </c:pt>
                <c:pt idx="6">
                  <c:v>9.9461602421831233E-2</c:v>
                </c:pt>
                <c:pt idx="7">
                  <c:v>0.15627613421983522</c:v>
                </c:pt>
                <c:pt idx="8">
                  <c:v>0.19825882727042607</c:v>
                </c:pt>
                <c:pt idx="9">
                  <c:v>0.23072123267875941</c:v>
                </c:pt>
                <c:pt idx="10">
                  <c:v>0.25451468737875149</c:v>
                </c:pt>
                <c:pt idx="11">
                  <c:v>0.25797921278471964</c:v>
                </c:pt>
                <c:pt idx="12">
                  <c:v>0.25899625253351033</c:v>
                </c:pt>
                <c:pt idx="13">
                  <c:v>0.25710996334294889</c:v>
                </c:pt>
                <c:pt idx="14">
                  <c:v>0.25404329078840893</c:v>
                </c:pt>
              </c:numCache>
            </c:numRef>
          </c:val>
          <c:smooth val="0"/>
          <c:extLst>
            <c:ext xmlns:c16="http://schemas.microsoft.com/office/drawing/2014/chart" uri="{C3380CC4-5D6E-409C-BE32-E72D297353CC}">
              <c16:uniqueId val="{00000000-6385-C64B-8450-1B0DE2AD381E}"/>
            </c:ext>
          </c:extLst>
        </c:ser>
        <c:ser>
          <c:idx val="1"/>
          <c:order val="1"/>
          <c:tx>
            <c:strRef>
              <c:f>CHARTS!$A$322</c:f>
              <c:strCache>
                <c:ptCount val="1"/>
                <c:pt idx="0">
                  <c:v>ROCE</c:v>
                </c:pt>
              </c:strCache>
            </c:strRef>
          </c:tx>
          <c:spPr>
            <a:ln w="28575" cap="rnd">
              <a:solidFill>
                <a:schemeClr val="accent2"/>
              </a:solidFill>
              <a:round/>
            </a:ln>
            <a:effectLst/>
          </c:spPr>
          <c:marker>
            <c:symbol val="none"/>
          </c:marker>
          <c:cat>
            <c:strRef>
              <c:f>CHARTS!$B$294:$P$294</c:f>
              <c:strCache>
                <c:ptCount val="15"/>
                <c:pt idx="0">
                  <c:v>FY2021A</c:v>
                </c:pt>
                <c:pt idx="1">
                  <c:v>FY2022A</c:v>
                </c:pt>
                <c:pt idx="2">
                  <c:v>FY2023A</c:v>
                </c:pt>
                <c:pt idx="3">
                  <c:v>FY2024A</c:v>
                </c:pt>
                <c:pt idx="4">
                  <c:v>FY2025A</c:v>
                </c:pt>
                <c:pt idx="5">
                  <c:v>FY2026E</c:v>
                </c:pt>
                <c:pt idx="6">
                  <c:v>FY2027E</c:v>
                </c:pt>
                <c:pt idx="7">
                  <c:v>FY2028E</c:v>
                </c:pt>
                <c:pt idx="8">
                  <c:v>FY2029E</c:v>
                </c:pt>
                <c:pt idx="9">
                  <c:v>FY2030E</c:v>
                </c:pt>
                <c:pt idx="10">
                  <c:v>FY2031E</c:v>
                </c:pt>
                <c:pt idx="11">
                  <c:v>FY2032E</c:v>
                </c:pt>
                <c:pt idx="12">
                  <c:v>FY2033E</c:v>
                </c:pt>
                <c:pt idx="13">
                  <c:v>FY2034E</c:v>
                </c:pt>
                <c:pt idx="14">
                  <c:v>FY2035E</c:v>
                </c:pt>
              </c:strCache>
            </c:strRef>
          </c:cat>
          <c:val>
            <c:numRef>
              <c:f>CHARTS!$B$322:$P$322</c:f>
              <c:numCache>
                <c:formatCode>0%</c:formatCode>
                <c:ptCount val="15"/>
                <c:pt idx="0">
                  <c:v>5.1718381458066322E-2</c:v>
                </c:pt>
                <c:pt idx="1">
                  <c:v>0.12811532945882709</c:v>
                </c:pt>
                <c:pt idx="2">
                  <c:v>0.10541028696479829</c:v>
                </c:pt>
                <c:pt idx="3">
                  <c:v>0.13210186921197659</c:v>
                </c:pt>
                <c:pt idx="4">
                  <c:v>0.13918932920099644</c:v>
                </c:pt>
                <c:pt idx="5">
                  <c:v>0.12162641601200451</c:v>
                </c:pt>
                <c:pt idx="6">
                  <c:v>0.14627341675143576</c:v>
                </c:pt>
                <c:pt idx="7">
                  <c:v>0.23078958152425877</c:v>
                </c:pt>
                <c:pt idx="8">
                  <c:v>0.29469540678511558</c:v>
                </c:pt>
                <c:pt idx="9">
                  <c:v>0.3451115941222116</c:v>
                </c:pt>
                <c:pt idx="10">
                  <c:v>0.38269058986279147</c:v>
                </c:pt>
                <c:pt idx="11">
                  <c:v>0.38639872612112397</c:v>
                </c:pt>
                <c:pt idx="12">
                  <c:v>0.38663774634944575</c:v>
                </c:pt>
                <c:pt idx="13">
                  <c:v>0.38256641862555413</c:v>
                </c:pt>
                <c:pt idx="14">
                  <c:v>0.37689344189745499</c:v>
                </c:pt>
              </c:numCache>
            </c:numRef>
          </c:val>
          <c:smooth val="0"/>
          <c:extLst>
            <c:ext xmlns:c16="http://schemas.microsoft.com/office/drawing/2014/chart" uri="{C3380CC4-5D6E-409C-BE32-E72D297353CC}">
              <c16:uniqueId val="{00000001-6385-C64B-8450-1B0DE2AD381E}"/>
            </c:ext>
          </c:extLst>
        </c:ser>
        <c:dLbls>
          <c:showLegendKey val="0"/>
          <c:showVal val="0"/>
          <c:showCatName val="0"/>
          <c:showSerName val="0"/>
          <c:showPercent val="0"/>
          <c:showBubbleSize val="0"/>
        </c:dLbls>
        <c:smooth val="0"/>
        <c:axId val="390830544"/>
        <c:axId val="390832256"/>
      </c:lineChart>
      <c:catAx>
        <c:axId val="39083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32256"/>
        <c:crosses val="autoZero"/>
        <c:auto val="1"/>
        <c:lblAlgn val="ctr"/>
        <c:lblOffset val="100"/>
        <c:noMultiLvlLbl val="0"/>
      </c:catAx>
      <c:valAx>
        <c:axId val="3908322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830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FCFF</c:v>
          </c:tx>
          <c:spPr>
            <a:solidFill>
              <a:schemeClr val="accent1"/>
            </a:solidFill>
            <a:ln>
              <a:noFill/>
            </a:ln>
            <a:effectLst/>
          </c:spPr>
          <c:invertIfNegative val="0"/>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CHARTS!$B$326:$P$326</c:f>
              <c:numCache>
                <c:formatCode>#,##0.00;\(#,##0.00\)</c:formatCode>
                <c:ptCount val="15"/>
                <c:pt idx="0">
                  <c:v>5.1718381458066322E-2</c:v>
                </c:pt>
                <c:pt idx="1">
                  <c:v>0.12811532945882709</c:v>
                </c:pt>
                <c:pt idx="2">
                  <c:v>0.10541028696479829</c:v>
                </c:pt>
                <c:pt idx="3">
                  <c:v>0.13210186921197659</c:v>
                </c:pt>
                <c:pt idx="4">
                  <c:v>0.13918932920099644</c:v>
                </c:pt>
                <c:pt idx="5">
                  <c:v>0.12162641601200451</c:v>
                </c:pt>
                <c:pt idx="6">
                  <c:v>0.14627341675143576</c:v>
                </c:pt>
                <c:pt idx="7">
                  <c:v>0.23078958152425877</c:v>
                </c:pt>
                <c:pt idx="8">
                  <c:v>0.29469540678511558</c:v>
                </c:pt>
                <c:pt idx="9">
                  <c:v>0.3451115941222116</c:v>
                </c:pt>
                <c:pt idx="10">
                  <c:v>0.38269058986279147</c:v>
                </c:pt>
                <c:pt idx="11">
                  <c:v>0.38639872612112397</c:v>
                </c:pt>
                <c:pt idx="12">
                  <c:v>0.38663774634944575</c:v>
                </c:pt>
                <c:pt idx="13">
                  <c:v>0.38256641862555413</c:v>
                </c:pt>
                <c:pt idx="14">
                  <c:v>0.37689344189745499</c:v>
                </c:pt>
              </c:numCache>
            </c:numRef>
          </c:val>
          <c:extLst>
            <c:ext xmlns:c16="http://schemas.microsoft.com/office/drawing/2014/chart" uri="{C3380CC4-5D6E-409C-BE32-E72D297353CC}">
              <c16:uniqueId val="{00000000-24D2-2B49-AFE1-C745D39BE4E4}"/>
            </c:ext>
          </c:extLst>
        </c:ser>
        <c:ser>
          <c:idx val="1"/>
          <c:order val="1"/>
          <c:tx>
            <c:v>FCFE</c:v>
          </c:tx>
          <c:spPr>
            <a:solidFill>
              <a:schemeClr val="accent2"/>
            </a:solidFill>
            <a:ln>
              <a:noFill/>
            </a:ln>
            <a:effectLst/>
          </c:spPr>
          <c:invertIfNegative val="0"/>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CHARTS!$B$327:$P$327</c:f>
              <c:numCache>
                <c:formatCode>#,##0.00;\(#,##0.00\)</c:formatCode>
                <c:ptCount val="15"/>
                <c:pt idx="0">
                  <c:v>0.10343676291613264</c:v>
                </c:pt>
                <c:pt idx="1">
                  <c:v>0.25623065891765417</c:v>
                </c:pt>
                <c:pt idx="2">
                  <c:v>0.21082057392959658</c:v>
                </c:pt>
                <c:pt idx="3">
                  <c:v>0.26420373842395317</c:v>
                </c:pt>
                <c:pt idx="4">
                  <c:v>0.27837865840199288</c:v>
                </c:pt>
                <c:pt idx="5">
                  <c:v>0.24325283202400902</c:v>
                </c:pt>
                <c:pt idx="6">
                  <c:v>0.29254683350287153</c:v>
                </c:pt>
                <c:pt idx="7">
                  <c:v>0.46157916304851754</c:v>
                </c:pt>
                <c:pt idx="8">
                  <c:v>0.58939081357023115</c:v>
                </c:pt>
                <c:pt idx="9">
                  <c:v>0.69022318824442319</c:v>
                </c:pt>
                <c:pt idx="10">
                  <c:v>0.76538117972558295</c:v>
                </c:pt>
                <c:pt idx="11">
                  <c:v>0.77279745224224794</c:v>
                </c:pt>
                <c:pt idx="12">
                  <c:v>0.77327549269889151</c:v>
                </c:pt>
                <c:pt idx="13">
                  <c:v>0.76513283725110826</c:v>
                </c:pt>
                <c:pt idx="14">
                  <c:v>0.75378688379490999</c:v>
                </c:pt>
              </c:numCache>
            </c:numRef>
          </c:val>
          <c:extLst>
            <c:ext xmlns:c16="http://schemas.microsoft.com/office/drawing/2014/chart" uri="{C3380CC4-5D6E-409C-BE32-E72D297353CC}">
              <c16:uniqueId val="{00000001-24D2-2B49-AFE1-C745D39BE4E4}"/>
            </c:ext>
          </c:extLst>
        </c:ser>
        <c:dLbls>
          <c:showLegendKey val="0"/>
          <c:showVal val="0"/>
          <c:showCatName val="0"/>
          <c:showSerName val="0"/>
          <c:showPercent val="0"/>
          <c:showBubbleSize val="0"/>
        </c:dLbls>
        <c:gapWidth val="219"/>
        <c:overlap val="-27"/>
        <c:axId val="763618800"/>
        <c:axId val="763620512"/>
      </c:barChart>
      <c:catAx>
        <c:axId val="76361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20512"/>
        <c:crosses val="autoZero"/>
        <c:auto val="1"/>
        <c:lblAlgn val="ctr"/>
        <c:lblOffset val="100"/>
        <c:noMultiLvlLbl val="0"/>
      </c:catAx>
      <c:valAx>
        <c:axId val="76362051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61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CHARTS!$A$63</c:f>
              <c:strCache>
                <c:ptCount val="1"/>
                <c:pt idx="0">
                  <c:v>Trade Receivables Days</c:v>
                </c:pt>
              </c:strCache>
            </c:strRef>
          </c:tx>
          <c:spPr>
            <a:ln w="28575" cap="rnd">
              <a:solidFill>
                <a:schemeClr val="accent1"/>
              </a:solidFill>
              <a:round/>
            </a:ln>
            <a:effectLst/>
          </c:spPr>
          <c:marker>
            <c:symbol val="none"/>
          </c:marker>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CHARTS!$H$63:$V$63</c:f>
              <c:numCache>
                <c:formatCode>0</c:formatCode>
                <c:ptCount val="15"/>
                <c:pt idx="0">
                  <c:v>49.988547737233155</c:v>
                </c:pt>
                <c:pt idx="1">
                  <c:v>34.899930813354544</c:v>
                </c:pt>
                <c:pt idx="2">
                  <c:v>30.849139605875653</c:v>
                </c:pt>
                <c:pt idx="3">
                  <c:v>46.076555820524248</c:v>
                </c:pt>
                <c:pt idx="4">
                  <c:v>53.797449473273112</c:v>
                </c:pt>
                <c:pt idx="5">
                  <c:v>43.122324690052139</c:v>
                </c:pt>
                <c:pt idx="6">
                  <c:v>43.122324690052139</c:v>
                </c:pt>
                <c:pt idx="7">
                  <c:v>43.122324690052139</c:v>
                </c:pt>
                <c:pt idx="8">
                  <c:v>43.122324690052139</c:v>
                </c:pt>
                <c:pt idx="9">
                  <c:v>43.122324690052139</c:v>
                </c:pt>
                <c:pt idx="10">
                  <c:v>43.122324690052139</c:v>
                </c:pt>
                <c:pt idx="11">
                  <c:v>43.122324690052139</c:v>
                </c:pt>
                <c:pt idx="12">
                  <c:v>43.122324690052139</c:v>
                </c:pt>
                <c:pt idx="13">
                  <c:v>43.122324690052139</c:v>
                </c:pt>
                <c:pt idx="14">
                  <c:v>43.122324690052139</c:v>
                </c:pt>
              </c:numCache>
            </c:numRef>
          </c:val>
          <c:smooth val="0"/>
          <c:extLst>
            <c:ext xmlns:c16="http://schemas.microsoft.com/office/drawing/2014/chart" uri="{C3380CC4-5D6E-409C-BE32-E72D297353CC}">
              <c16:uniqueId val="{00000000-3DC6-D14F-91A2-F0B2AE458FCE}"/>
            </c:ext>
          </c:extLst>
        </c:ser>
        <c:ser>
          <c:idx val="1"/>
          <c:order val="1"/>
          <c:tx>
            <c:strRef>
              <c:f>CHARTS!$A$64</c:f>
              <c:strCache>
                <c:ptCount val="1"/>
                <c:pt idx="0">
                  <c:v>Inventory Days</c:v>
                </c:pt>
              </c:strCache>
            </c:strRef>
          </c:tx>
          <c:spPr>
            <a:ln w="28575" cap="rnd">
              <a:solidFill>
                <a:schemeClr val="accent2"/>
              </a:solidFill>
              <a:round/>
            </a:ln>
            <a:effectLst/>
          </c:spPr>
          <c:marker>
            <c:symbol val="none"/>
          </c:marker>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CHARTS!$H$64:$V$64</c:f>
              <c:numCache>
                <c:formatCode>0</c:formatCode>
                <c:ptCount val="15"/>
                <c:pt idx="0">
                  <c:v>204.44187112256512</c:v>
                </c:pt>
                <c:pt idx="1">
                  <c:v>116.73159337279401</c:v>
                </c:pt>
                <c:pt idx="2">
                  <c:v>122.18210186244538</c:v>
                </c:pt>
                <c:pt idx="3">
                  <c:v>107.67866562060033</c:v>
                </c:pt>
                <c:pt idx="4">
                  <c:v>116.40441668261482</c:v>
                </c:pt>
                <c:pt idx="5">
                  <c:v>133.48772973220395</c:v>
                </c:pt>
                <c:pt idx="6">
                  <c:v>133.48772973220395</c:v>
                </c:pt>
                <c:pt idx="7">
                  <c:v>133.48772973220395</c:v>
                </c:pt>
                <c:pt idx="8">
                  <c:v>133.48772973220395</c:v>
                </c:pt>
                <c:pt idx="9">
                  <c:v>133.48772973220395</c:v>
                </c:pt>
                <c:pt idx="10">
                  <c:v>133.48772973220395</c:v>
                </c:pt>
                <c:pt idx="11">
                  <c:v>133.48772973220395</c:v>
                </c:pt>
                <c:pt idx="12">
                  <c:v>133.48772973220395</c:v>
                </c:pt>
                <c:pt idx="13">
                  <c:v>133.48772973220395</c:v>
                </c:pt>
                <c:pt idx="14">
                  <c:v>133.48772973220395</c:v>
                </c:pt>
              </c:numCache>
            </c:numRef>
          </c:val>
          <c:smooth val="0"/>
          <c:extLst>
            <c:ext xmlns:c16="http://schemas.microsoft.com/office/drawing/2014/chart" uri="{C3380CC4-5D6E-409C-BE32-E72D297353CC}">
              <c16:uniqueId val="{00000001-3DC6-D14F-91A2-F0B2AE458FCE}"/>
            </c:ext>
          </c:extLst>
        </c:ser>
        <c:ser>
          <c:idx val="2"/>
          <c:order val="2"/>
          <c:tx>
            <c:strRef>
              <c:f>CHARTS!$A$65</c:f>
              <c:strCache>
                <c:ptCount val="1"/>
                <c:pt idx="0">
                  <c:v>Trade Payables Days</c:v>
                </c:pt>
              </c:strCache>
            </c:strRef>
          </c:tx>
          <c:spPr>
            <a:ln w="28575" cap="rnd">
              <a:solidFill>
                <a:schemeClr val="accent3"/>
              </a:solidFill>
              <a:round/>
            </a:ln>
            <a:effectLst/>
          </c:spPr>
          <c:marker>
            <c:symbol val="none"/>
          </c:marker>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CHARTS!$H$65:$V$65</c:f>
              <c:numCache>
                <c:formatCode>0</c:formatCode>
                <c:ptCount val="15"/>
                <c:pt idx="0">
                  <c:v>110.6491340791713</c:v>
                </c:pt>
                <c:pt idx="1">
                  <c:v>80.213977424210583</c:v>
                </c:pt>
                <c:pt idx="2">
                  <c:v>60.617039166317291</c:v>
                </c:pt>
                <c:pt idx="3">
                  <c:v>74.081843015066795</c:v>
                </c:pt>
                <c:pt idx="4">
                  <c:v>81.974838184066726</c:v>
                </c:pt>
                <c:pt idx="5">
                  <c:v>81.50736637376653</c:v>
                </c:pt>
                <c:pt idx="6">
                  <c:v>81.50736637376653</c:v>
                </c:pt>
                <c:pt idx="7">
                  <c:v>81.50736637376653</c:v>
                </c:pt>
                <c:pt idx="8">
                  <c:v>81.50736637376653</c:v>
                </c:pt>
                <c:pt idx="9">
                  <c:v>81.50736637376653</c:v>
                </c:pt>
                <c:pt idx="10">
                  <c:v>81.50736637376653</c:v>
                </c:pt>
                <c:pt idx="11">
                  <c:v>81.50736637376653</c:v>
                </c:pt>
                <c:pt idx="12">
                  <c:v>81.50736637376653</c:v>
                </c:pt>
                <c:pt idx="13">
                  <c:v>81.50736637376653</c:v>
                </c:pt>
                <c:pt idx="14">
                  <c:v>81.50736637376653</c:v>
                </c:pt>
              </c:numCache>
            </c:numRef>
          </c:val>
          <c:smooth val="0"/>
          <c:extLst>
            <c:ext xmlns:c16="http://schemas.microsoft.com/office/drawing/2014/chart" uri="{C3380CC4-5D6E-409C-BE32-E72D297353CC}">
              <c16:uniqueId val="{00000002-3DC6-D14F-91A2-F0B2AE458FCE}"/>
            </c:ext>
          </c:extLst>
        </c:ser>
        <c:dLbls>
          <c:showLegendKey val="0"/>
          <c:showVal val="0"/>
          <c:showCatName val="0"/>
          <c:showSerName val="0"/>
          <c:showPercent val="0"/>
          <c:showBubbleSize val="0"/>
        </c:dLbls>
        <c:smooth val="0"/>
        <c:axId val="2045255007"/>
        <c:axId val="2045524735"/>
      </c:lineChart>
      <c:catAx>
        <c:axId val="204525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524735"/>
        <c:crosses val="autoZero"/>
        <c:auto val="1"/>
        <c:lblAlgn val="ctr"/>
        <c:lblOffset val="100"/>
        <c:noMultiLvlLbl val="0"/>
      </c:catAx>
      <c:valAx>
        <c:axId val="20455247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2550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3600" b="1" i="0" u="none" strike="noStrike" kern="1200" cap="all" spc="100" normalizeH="0" baseline="0">
              <a:solidFill>
                <a:schemeClr val="lt1"/>
              </a:solidFill>
              <a:latin typeface="+mn-lt"/>
              <a:ea typeface="+mn-ea"/>
              <a:cs typeface="+mn-cs"/>
            </a:defRPr>
          </a:pPr>
          <a:endParaRPr lang="en-US"/>
        </a:p>
      </c:txPr>
    </c:title>
    <c:autoTitleDeleted val="0"/>
    <c:plotArea>
      <c:layout/>
      <c:barChart>
        <c:barDir val="col"/>
        <c:grouping val="clustered"/>
        <c:varyColors val="0"/>
        <c:ser>
          <c:idx val="0"/>
          <c:order val="0"/>
          <c:tx>
            <c:v>CAPEX</c:v>
          </c:tx>
          <c:spPr>
            <a:pattFill prst="ltUpDiag">
              <a:fgClr>
                <a:schemeClr val="accent1"/>
              </a:fgClr>
              <a:bgClr>
                <a:schemeClr val="lt1"/>
              </a:bgClr>
            </a:pattFill>
            <a:ln>
              <a:noFill/>
            </a:ln>
            <a:effectLst/>
          </c:spPr>
          <c:invertIfNegative val="0"/>
          <c:dLbls>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CHARTS!$D$193:$R$193</c:f>
              <c:strCache>
                <c:ptCount val="15"/>
                <c:pt idx="0">
                  <c:v>FY2021</c:v>
                </c:pt>
                <c:pt idx="1">
                  <c:v>FY2022</c:v>
                </c:pt>
                <c:pt idx="2">
                  <c:v>FY2023</c:v>
                </c:pt>
                <c:pt idx="3">
                  <c:v>FY2024</c:v>
                </c:pt>
                <c:pt idx="4">
                  <c:v>FY2025</c:v>
                </c:pt>
                <c:pt idx="5">
                  <c:v>FY2026</c:v>
                </c:pt>
                <c:pt idx="6">
                  <c:v>FY2027</c:v>
                </c:pt>
                <c:pt idx="7">
                  <c:v>FY2028</c:v>
                </c:pt>
                <c:pt idx="8">
                  <c:v>FY2029</c:v>
                </c:pt>
                <c:pt idx="9">
                  <c:v>FY2030</c:v>
                </c:pt>
                <c:pt idx="10">
                  <c:v>FY2031</c:v>
                </c:pt>
                <c:pt idx="11">
                  <c:v>FY2032</c:v>
                </c:pt>
                <c:pt idx="12">
                  <c:v>FY2033</c:v>
                </c:pt>
                <c:pt idx="13">
                  <c:v>FY2034</c:v>
                </c:pt>
                <c:pt idx="14">
                  <c:v>FY2035</c:v>
                </c:pt>
              </c:strCache>
            </c:strRef>
          </c:cat>
          <c:val>
            <c:numRef>
              <c:f>CHARTS!$X$111:$AL$111</c:f>
              <c:numCache>
                <c:formatCode>_(* #,##0_);_(* \(#,##0\);_(* "-"??_);_(@_)</c:formatCode>
                <c:ptCount val="15"/>
                <c:pt idx="0">
                  <c:v>20282</c:v>
                </c:pt>
                <c:pt idx="1">
                  <c:v>16174</c:v>
                </c:pt>
                <c:pt idx="2">
                  <c:v>11595</c:v>
                </c:pt>
                <c:pt idx="3">
                  <c:v>23200</c:v>
                </c:pt>
                <c:pt idx="4">
                  <c:v>28703</c:v>
                </c:pt>
                <c:pt idx="5">
                  <c:v>11125.805652544201</c:v>
                </c:pt>
                <c:pt idx="6">
                  <c:v>11904.612048222296</c:v>
                </c:pt>
                <c:pt idx="7">
                  <c:v>12678.411831356745</c:v>
                </c:pt>
                <c:pt idx="8">
                  <c:v>13502.508600394935</c:v>
                </c:pt>
                <c:pt idx="9">
                  <c:v>14312.659116418632</c:v>
                </c:pt>
                <c:pt idx="10">
                  <c:v>15171.418663403751</c:v>
                </c:pt>
                <c:pt idx="11">
                  <c:v>16005.846689890956</c:v>
                </c:pt>
                <c:pt idx="12">
                  <c:v>16886.168257834957</c:v>
                </c:pt>
                <c:pt idx="13">
                  <c:v>17730.476670726704</c:v>
                </c:pt>
                <c:pt idx="14">
                  <c:v>18617.000504263044</c:v>
                </c:pt>
              </c:numCache>
            </c:numRef>
          </c:val>
          <c:extLst>
            <c:ext xmlns:c16="http://schemas.microsoft.com/office/drawing/2014/chart" uri="{C3380CC4-5D6E-409C-BE32-E72D297353CC}">
              <c16:uniqueId val="{00000000-3E6B-C742-A531-9C5320C18DC7}"/>
            </c:ext>
          </c:extLst>
        </c:ser>
        <c:dLbls>
          <c:dLblPos val="outEnd"/>
          <c:showLegendKey val="0"/>
          <c:showVal val="1"/>
          <c:showCatName val="0"/>
          <c:showSerName val="0"/>
          <c:showPercent val="0"/>
          <c:showBubbleSize val="0"/>
        </c:dLbls>
        <c:gapWidth val="269"/>
        <c:overlap val="-20"/>
        <c:axId val="1703352543"/>
        <c:axId val="294485344"/>
      </c:barChart>
      <c:catAx>
        <c:axId val="1703352543"/>
        <c:scaling>
          <c:orientation val="minMax"/>
        </c:scaling>
        <c:delete val="0"/>
        <c:axPos val="b"/>
        <c:majorGridlines>
          <c:spPr>
            <a:ln w="9525" cap="flat" cmpd="sng" algn="ctr">
              <a:solidFill>
                <a:schemeClr val="accent2">
                  <a:alpha val="0"/>
                </a:schemeClr>
              </a:solidFill>
              <a:round/>
            </a:ln>
            <a:effectLst/>
          </c:spPr>
        </c:majorGridlines>
        <c:minorGridlines>
          <c:spPr>
            <a:ln>
              <a:solidFill>
                <a:schemeClr val="accent2">
                  <a:alpha val="0"/>
                </a:schemeClr>
              </a:solidFill>
            </a:ln>
            <a:effectLst/>
          </c:spPr>
        </c:min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600" b="0" i="0" u="none" strike="noStrike" kern="1200" cap="all" spc="150" normalizeH="0" baseline="0">
                <a:solidFill>
                  <a:schemeClr val="lt1"/>
                </a:solidFill>
                <a:latin typeface="+mn-lt"/>
                <a:ea typeface="+mn-ea"/>
                <a:cs typeface="+mn-cs"/>
              </a:defRPr>
            </a:pPr>
            <a:endParaRPr lang="en-US"/>
          </a:p>
        </c:txPr>
        <c:crossAx val="294485344"/>
        <c:crosses val="autoZero"/>
        <c:auto val="1"/>
        <c:lblAlgn val="ctr"/>
        <c:lblOffset val="100"/>
        <c:noMultiLvlLbl val="0"/>
      </c:catAx>
      <c:valAx>
        <c:axId val="29448534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3352543"/>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CHARTS!$H$17:$V$17</c:f>
              <c:numCache>
                <c:formatCode>#,##0</c:formatCode>
                <c:ptCount val="15"/>
                <c:pt idx="0">
                  <c:v>1018576</c:v>
                </c:pt>
                <c:pt idx="1">
                  <c:v>1312392</c:v>
                </c:pt>
                <c:pt idx="2">
                  <c:v>1665109</c:v>
                </c:pt>
                <c:pt idx="3">
                  <c:v>1837953</c:v>
                </c:pt>
                <c:pt idx="4">
                  <c:v>1940854</c:v>
                </c:pt>
                <c:pt idx="5" formatCode="#,##0_);\(#,##0\)">
                  <c:v>2076713.78</c:v>
                </c:pt>
                <c:pt idx="6" formatCode="#,##0_);\(#,##0\)">
                  <c:v>2222083.7446000003</c:v>
                </c:pt>
                <c:pt idx="7" formatCode="#,##0_);\(#,##0\)">
                  <c:v>2366519.1879990003</c:v>
                </c:pt>
                <c:pt idx="8" formatCode="#,##0_);\(#,##0\)">
                  <c:v>2520342.9352189354</c:v>
                </c:pt>
                <c:pt idx="9" formatCode="#,##0_);\(#,##0\)">
                  <c:v>2671563.5113320719</c:v>
                </c:pt>
                <c:pt idx="10" formatCode="#,##0_);\(#,##0\)">
                  <c:v>2831857.3220119965</c:v>
                </c:pt>
                <c:pt idx="11" formatCode="#,##0_);\(#,##0\)">
                  <c:v>2987609.474722656</c:v>
                </c:pt>
                <c:pt idx="12" formatCode="#,##0_);\(#,##0\)">
                  <c:v>3151927.9958324018</c:v>
                </c:pt>
                <c:pt idx="13" formatCode="#,##0_);\(#,##0\)">
                  <c:v>3309524.395624022</c:v>
                </c:pt>
                <c:pt idx="14" formatCode="#,##0_);\(#,##0\)">
                  <c:v>3475000.6154052233</c:v>
                </c:pt>
              </c:numCache>
            </c:numRef>
          </c:val>
          <c:extLst>
            <c:ext xmlns:c16="http://schemas.microsoft.com/office/drawing/2014/chart" uri="{C3380CC4-5D6E-409C-BE32-E72D297353CC}">
              <c16:uniqueId val="{00000000-D526-234B-A5D4-CA4926FE4160}"/>
            </c:ext>
          </c:extLst>
        </c:ser>
        <c:dLbls>
          <c:showLegendKey val="0"/>
          <c:showVal val="0"/>
          <c:showCatName val="0"/>
          <c:showSerName val="0"/>
          <c:showPercent val="0"/>
          <c:showBubbleSize val="0"/>
        </c:dLbls>
        <c:gapWidth val="219"/>
        <c:overlap val="-27"/>
        <c:axId val="1262002239"/>
        <c:axId val="2048524239"/>
      </c:barChart>
      <c:catAx>
        <c:axId val="126200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524239"/>
        <c:crosses val="autoZero"/>
        <c:auto val="1"/>
        <c:lblAlgn val="ctr"/>
        <c:lblOffset val="100"/>
        <c:noMultiLvlLbl val="0"/>
      </c:catAx>
      <c:valAx>
        <c:axId val="2048524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002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extLst>
                <c:ext xmlns:c15="http://schemas.microsoft.com/office/drawing/2012/chart" uri="{02D57815-91ED-43cb-92C2-25804820EDAC}">
                  <c15:fullRef>
                    <c15:sqref>CHARTS!$A$339:$B$340</c15:sqref>
                  </c15:fullRef>
                  <c15:levelRef>
                    <c15:sqref>CHARTS!$A$339:$A$340</c15:sqref>
                  </c15:levelRef>
                </c:ext>
              </c:extLst>
              <c:f>CHARTS!$A$339:$A$340</c:f>
              <c:strCache>
                <c:ptCount val="2"/>
                <c:pt idx="0">
                  <c:v>Market Value of Equity             </c:v>
                </c:pt>
                <c:pt idx="1">
                  <c:v>Market Value of Debt               </c:v>
                </c:pt>
              </c:strCache>
            </c:strRef>
          </c:cat>
          <c:val>
            <c:numRef>
              <c:f>CHARTS!$C$339:$C$340</c:f>
              <c:numCache>
                <c:formatCode>General</c:formatCode>
                <c:ptCount val="2"/>
                <c:pt idx="0">
                  <c:v>3172800</c:v>
                </c:pt>
                <c:pt idx="1">
                  <c:v>61998</c:v>
                </c:pt>
              </c:numCache>
            </c:numRef>
          </c:val>
          <c:extLst>
            <c:ext xmlns:c16="http://schemas.microsoft.com/office/drawing/2014/chart" uri="{C3380CC4-5D6E-409C-BE32-E72D297353CC}">
              <c16:uniqueId val="{00000000-1D82-EF48-A972-FE49837A981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microsoft.com/office/2007/relationships/hdphoto" Target="../media/hdphoto2.wdp"/><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2" Type="http://schemas.microsoft.com/office/2007/relationships/hdphoto" Target="../media/hdphoto3.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4.wdp"/><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microsoft.com/office/2007/relationships/hdphoto" Target="../media/hdphoto5.wdp"/><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microsoft.com/office/2007/relationships/hdphoto" Target="../media/hdphoto5.wdp"/><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microsoft.com/office/2007/relationships/hdphoto" Target="../media/hdphoto2.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838200</xdr:colOff>
      <xdr:row>9</xdr:row>
      <xdr:rowOff>267905</xdr:rowOff>
    </xdr:from>
    <xdr:to>
      <xdr:col>14</xdr:col>
      <xdr:colOff>364066</xdr:colOff>
      <xdr:row>13</xdr:row>
      <xdr:rowOff>263685</xdr:rowOff>
    </xdr:to>
    <xdr:pic>
      <xdr:nvPicPr>
        <xdr:cNvPr id="9" name="Picture 8">
          <a:extLst>
            <a:ext uri="{FF2B5EF4-FFF2-40B4-BE49-F238E27FC236}">
              <a16:creationId xmlns:a16="http://schemas.microsoft.com/office/drawing/2014/main" id="{5F1A18AC-C440-7F4C-B779-2F2CBE322533}"/>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13182600" y="3239705"/>
          <a:ext cx="1049866" cy="1113380"/>
        </a:xfrm>
        <a:prstGeom prst="rect">
          <a:avLst/>
        </a:prstGeom>
      </xdr:spPr>
    </xdr:pic>
    <xdr:clientData/>
  </xdr:twoCellAnchor>
  <xdr:twoCellAnchor>
    <xdr:from>
      <xdr:col>1</xdr:col>
      <xdr:colOff>0</xdr:colOff>
      <xdr:row>15</xdr:row>
      <xdr:rowOff>279399</xdr:rowOff>
    </xdr:from>
    <xdr:to>
      <xdr:col>7</xdr:col>
      <xdr:colOff>1128889</xdr:colOff>
      <xdr:row>24</xdr:row>
      <xdr:rowOff>177800</xdr:rowOff>
    </xdr:to>
    <xdr:graphicFrame macro="">
      <xdr:nvGraphicFramePr>
        <xdr:cNvPr id="10" name="Chart 9">
          <a:extLst>
            <a:ext uri="{FF2B5EF4-FFF2-40B4-BE49-F238E27FC236}">
              <a16:creationId xmlns:a16="http://schemas.microsoft.com/office/drawing/2014/main" id="{817B1987-B589-3C4E-A355-395B2F7E7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16</xdr:row>
      <xdr:rowOff>25401</xdr:rowOff>
    </xdr:from>
    <xdr:to>
      <xdr:col>14</xdr:col>
      <xdr:colOff>1104900</xdr:colOff>
      <xdr:row>24</xdr:row>
      <xdr:rowOff>165101</xdr:rowOff>
    </xdr:to>
    <xdr:graphicFrame macro="">
      <xdr:nvGraphicFramePr>
        <xdr:cNvPr id="11" name="Chart 10">
          <a:extLst>
            <a:ext uri="{FF2B5EF4-FFF2-40B4-BE49-F238E27FC236}">
              <a16:creationId xmlns:a16="http://schemas.microsoft.com/office/drawing/2014/main" id="{1225619F-5D67-4343-8397-CED2B1B48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27</xdr:row>
      <xdr:rowOff>0</xdr:rowOff>
    </xdr:from>
    <xdr:to>
      <xdr:col>8</xdr:col>
      <xdr:colOff>0</xdr:colOff>
      <xdr:row>36</xdr:row>
      <xdr:rowOff>177800</xdr:rowOff>
    </xdr:to>
    <xdr:graphicFrame macro="">
      <xdr:nvGraphicFramePr>
        <xdr:cNvPr id="12" name="Chart 11">
          <a:extLst>
            <a:ext uri="{FF2B5EF4-FFF2-40B4-BE49-F238E27FC236}">
              <a16:creationId xmlns:a16="http://schemas.microsoft.com/office/drawing/2014/main" id="{9CECFE0C-6480-534C-A5E4-649A77D20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16933</xdr:colOff>
      <xdr:row>38</xdr:row>
      <xdr:rowOff>50801</xdr:rowOff>
    </xdr:from>
    <xdr:to>
      <xdr:col>7</xdr:col>
      <xdr:colOff>1117600</xdr:colOff>
      <xdr:row>46</xdr:row>
      <xdr:rowOff>135467</xdr:rowOff>
    </xdr:to>
    <xdr:graphicFrame macro="">
      <xdr:nvGraphicFramePr>
        <xdr:cNvPr id="14" name="Chart 13">
          <a:extLst>
            <a:ext uri="{FF2B5EF4-FFF2-40B4-BE49-F238E27FC236}">
              <a16:creationId xmlns:a16="http://schemas.microsoft.com/office/drawing/2014/main" id="{D1763397-3246-ED45-A51F-FD3A81B9F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xdr:colOff>
      <xdr:row>34</xdr:row>
      <xdr:rowOff>275166</xdr:rowOff>
    </xdr:from>
    <xdr:to>
      <xdr:col>15</xdr:col>
      <xdr:colOff>0</xdr:colOff>
      <xdr:row>46</xdr:row>
      <xdr:rowOff>152399</xdr:rowOff>
    </xdr:to>
    <xdr:graphicFrame macro="">
      <xdr:nvGraphicFramePr>
        <xdr:cNvPr id="15" name="Chart 14">
          <a:extLst>
            <a:ext uri="{FF2B5EF4-FFF2-40B4-BE49-F238E27FC236}">
              <a16:creationId xmlns:a16="http://schemas.microsoft.com/office/drawing/2014/main" id="{C20C1C66-D563-F843-9946-EE70962B9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316344</xdr:colOff>
      <xdr:row>0</xdr:row>
      <xdr:rowOff>0</xdr:rowOff>
    </xdr:from>
    <xdr:to>
      <xdr:col>0</xdr:col>
      <xdr:colOff>1816677</xdr:colOff>
      <xdr:row>6</xdr:row>
      <xdr:rowOff>27725</xdr:rowOff>
    </xdr:to>
    <xdr:pic>
      <xdr:nvPicPr>
        <xdr:cNvPr id="2" name="Picture 1">
          <a:extLst>
            <a:ext uri="{FF2B5EF4-FFF2-40B4-BE49-F238E27FC236}">
              <a16:creationId xmlns:a16="http://schemas.microsoft.com/office/drawing/2014/main" id="{C48E25EE-BDA9-4A4F-ADBB-55119631C3FC}"/>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316344" y="0"/>
          <a:ext cx="1805133" cy="1246925"/>
        </a:xfrm>
        <a:prstGeom prst="rect">
          <a:avLst/>
        </a:prstGeom>
      </xdr:spPr>
    </xdr:pic>
    <xdr:clientData/>
  </xdr:twoCellAnchor>
  <xdr:twoCellAnchor>
    <xdr:from>
      <xdr:col>22</xdr:col>
      <xdr:colOff>228600</xdr:colOff>
      <xdr:row>23</xdr:row>
      <xdr:rowOff>63500</xdr:rowOff>
    </xdr:from>
    <xdr:to>
      <xdr:col>35</xdr:col>
      <xdr:colOff>609600</xdr:colOff>
      <xdr:row>50</xdr:row>
      <xdr:rowOff>152400</xdr:rowOff>
    </xdr:to>
    <xdr:graphicFrame macro="">
      <xdr:nvGraphicFramePr>
        <xdr:cNvPr id="3" name="Chart 2">
          <a:extLst>
            <a:ext uri="{FF2B5EF4-FFF2-40B4-BE49-F238E27FC236}">
              <a16:creationId xmlns:a16="http://schemas.microsoft.com/office/drawing/2014/main" id="{E1D92C28-45BB-AC6A-73CC-0C8C1E694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776338</xdr:colOff>
      <xdr:row>292</xdr:row>
      <xdr:rowOff>123722</xdr:rowOff>
    </xdr:from>
    <xdr:to>
      <xdr:col>19</xdr:col>
      <xdr:colOff>163872</xdr:colOff>
      <xdr:row>300</xdr:row>
      <xdr:rowOff>61452</xdr:rowOff>
    </xdr:to>
    <xdr:graphicFrame macro="">
      <xdr:nvGraphicFramePr>
        <xdr:cNvPr id="5" name="Chart 4">
          <a:extLst>
            <a:ext uri="{FF2B5EF4-FFF2-40B4-BE49-F238E27FC236}">
              <a16:creationId xmlns:a16="http://schemas.microsoft.com/office/drawing/2014/main" id="{BF834182-DC51-6D62-204B-9D28E3E515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635000</xdr:colOff>
      <xdr:row>292</xdr:row>
      <xdr:rowOff>81936</xdr:rowOff>
    </xdr:from>
    <xdr:to>
      <xdr:col>22</xdr:col>
      <xdr:colOff>227371</xdr:colOff>
      <xdr:row>300</xdr:row>
      <xdr:rowOff>183536</xdr:rowOff>
    </xdr:to>
    <xdr:graphicFrame macro="">
      <xdr:nvGraphicFramePr>
        <xdr:cNvPr id="6" name="Chart 5">
          <a:extLst>
            <a:ext uri="{FF2B5EF4-FFF2-40B4-BE49-F238E27FC236}">
              <a16:creationId xmlns:a16="http://schemas.microsoft.com/office/drawing/2014/main" id="{C319DFC1-CF8A-F3D2-3474-33C603105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837789</xdr:colOff>
      <xdr:row>323</xdr:row>
      <xdr:rowOff>62269</xdr:rowOff>
    </xdr:from>
    <xdr:to>
      <xdr:col>24</xdr:col>
      <xdr:colOff>122902</xdr:colOff>
      <xdr:row>339</xdr:row>
      <xdr:rowOff>40967</xdr:rowOff>
    </xdr:to>
    <xdr:graphicFrame macro="">
      <xdr:nvGraphicFramePr>
        <xdr:cNvPr id="7" name="Chart 6">
          <a:extLst>
            <a:ext uri="{FF2B5EF4-FFF2-40B4-BE49-F238E27FC236}">
              <a16:creationId xmlns:a16="http://schemas.microsoft.com/office/drawing/2014/main" id="{AB7BBF66-AB36-F53E-9F7E-9CAA86C4C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325694</xdr:colOff>
      <xdr:row>61</xdr:row>
      <xdr:rowOff>185173</xdr:rowOff>
    </xdr:from>
    <xdr:to>
      <xdr:col>29</xdr:col>
      <xdr:colOff>165920</xdr:colOff>
      <xdr:row>74</xdr:row>
      <xdr:rowOff>183535</xdr:rowOff>
    </xdr:to>
    <xdr:graphicFrame macro="">
      <xdr:nvGraphicFramePr>
        <xdr:cNvPr id="8" name="Chart 7">
          <a:extLst>
            <a:ext uri="{FF2B5EF4-FFF2-40B4-BE49-F238E27FC236}">
              <a16:creationId xmlns:a16="http://schemas.microsoft.com/office/drawing/2014/main" id="{71A537B3-E401-F7AF-FC9C-23A62A3F75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465666</xdr:colOff>
      <xdr:row>111</xdr:row>
      <xdr:rowOff>200780</xdr:rowOff>
    </xdr:from>
    <xdr:to>
      <xdr:col>37</xdr:col>
      <xdr:colOff>201588</xdr:colOff>
      <xdr:row>139</xdr:row>
      <xdr:rowOff>181429</xdr:rowOff>
    </xdr:to>
    <xdr:graphicFrame macro="">
      <xdr:nvGraphicFramePr>
        <xdr:cNvPr id="4" name="Chart 3">
          <a:extLst>
            <a:ext uri="{FF2B5EF4-FFF2-40B4-BE49-F238E27FC236}">
              <a16:creationId xmlns:a16="http://schemas.microsoft.com/office/drawing/2014/main" id="{63824B7A-39AE-E088-6599-C616F7B242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647094</xdr:colOff>
      <xdr:row>6</xdr:row>
      <xdr:rowOff>261256</xdr:rowOff>
    </xdr:from>
    <xdr:to>
      <xdr:col>35</xdr:col>
      <xdr:colOff>320523</xdr:colOff>
      <xdr:row>20</xdr:row>
      <xdr:rowOff>182234</xdr:rowOff>
    </xdr:to>
    <xdr:graphicFrame macro="">
      <xdr:nvGraphicFramePr>
        <xdr:cNvPr id="9" name="Chart 8">
          <a:extLst>
            <a:ext uri="{FF2B5EF4-FFF2-40B4-BE49-F238E27FC236}">
              <a16:creationId xmlns:a16="http://schemas.microsoft.com/office/drawing/2014/main" id="{4C6996CA-A122-59F5-DCEB-44D5A785E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727730</xdr:colOff>
      <xdr:row>343</xdr:row>
      <xdr:rowOff>140304</xdr:rowOff>
    </xdr:from>
    <xdr:to>
      <xdr:col>14</xdr:col>
      <xdr:colOff>159254</xdr:colOff>
      <xdr:row>357</xdr:row>
      <xdr:rowOff>61282</xdr:rowOff>
    </xdr:to>
    <xdr:graphicFrame macro="">
      <xdr:nvGraphicFramePr>
        <xdr:cNvPr id="12" name="Chart 11">
          <a:extLst>
            <a:ext uri="{FF2B5EF4-FFF2-40B4-BE49-F238E27FC236}">
              <a16:creationId xmlns:a16="http://schemas.microsoft.com/office/drawing/2014/main" id="{2C03BB1B-CDFB-BD29-9343-2A8FC3A255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4152900</xdr:colOff>
      <xdr:row>2</xdr:row>
      <xdr:rowOff>2508</xdr:rowOff>
    </xdr:from>
    <xdr:to>
      <xdr:col>1</xdr:col>
      <xdr:colOff>674833</xdr:colOff>
      <xdr:row>7</xdr:row>
      <xdr:rowOff>182886</xdr:rowOff>
    </xdr:to>
    <xdr:pic>
      <xdr:nvPicPr>
        <xdr:cNvPr id="3" name="Picture 2">
          <a:extLst>
            <a:ext uri="{FF2B5EF4-FFF2-40B4-BE49-F238E27FC236}">
              <a16:creationId xmlns:a16="http://schemas.microsoft.com/office/drawing/2014/main" id="{605016B1-5468-EC43-AB63-9B1BEE348274}"/>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4152900" y="688308"/>
          <a:ext cx="1436833" cy="1297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4576233</xdr:colOff>
      <xdr:row>2</xdr:row>
      <xdr:rowOff>28163</xdr:rowOff>
    </xdr:from>
    <xdr:to>
      <xdr:col>1</xdr:col>
      <xdr:colOff>407106</xdr:colOff>
      <xdr:row>8</xdr:row>
      <xdr:rowOff>106941</xdr:rowOff>
    </xdr:to>
    <xdr:pic>
      <xdr:nvPicPr>
        <xdr:cNvPr id="3" name="Picture 2">
          <a:extLst>
            <a:ext uri="{FF2B5EF4-FFF2-40B4-BE49-F238E27FC236}">
              <a16:creationId xmlns:a16="http://schemas.microsoft.com/office/drawing/2014/main" id="{0353AF47-EAC6-1E4E-B01B-C32661897FB5}"/>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4576233" y="720890"/>
          <a:ext cx="1436833" cy="14129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3852333</xdr:colOff>
      <xdr:row>2</xdr:row>
      <xdr:rowOff>118604</xdr:rowOff>
    </xdr:from>
    <xdr:to>
      <xdr:col>1</xdr:col>
      <xdr:colOff>750006</xdr:colOff>
      <xdr:row>9</xdr:row>
      <xdr:rowOff>118873</xdr:rowOff>
    </xdr:to>
    <xdr:pic>
      <xdr:nvPicPr>
        <xdr:cNvPr id="3" name="Picture 2">
          <a:extLst>
            <a:ext uri="{FF2B5EF4-FFF2-40B4-BE49-F238E27FC236}">
              <a16:creationId xmlns:a16="http://schemas.microsoft.com/office/drawing/2014/main" id="{BC5C90C2-D792-EC43-B4EB-B7FAA03CD015}"/>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3852333" y="804404"/>
          <a:ext cx="1431573" cy="152426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419100</xdr:colOff>
      <xdr:row>0</xdr:row>
      <xdr:rowOff>101600</xdr:rowOff>
    </xdr:from>
    <xdr:to>
      <xdr:col>0</xdr:col>
      <xdr:colOff>2224233</xdr:colOff>
      <xdr:row>4</xdr:row>
      <xdr:rowOff>208286</xdr:rowOff>
    </xdr:to>
    <xdr:pic>
      <xdr:nvPicPr>
        <xdr:cNvPr id="2" name="Picture 1">
          <a:extLst>
            <a:ext uri="{FF2B5EF4-FFF2-40B4-BE49-F238E27FC236}">
              <a16:creationId xmlns:a16="http://schemas.microsoft.com/office/drawing/2014/main" id="{E03BD27B-7091-4B40-B3B8-6E3786951114}"/>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419100" y="101600"/>
          <a:ext cx="1805133" cy="12496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316344</xdr:colOff>
      <xdr:row>0</xdr:row>
      <xdr:rowOff>0</xdr:rowOff>
    </xdr:from>
    <xdr:to>
      <xdr:col>0</xdr:col>
      <xdr:colOff>2121477</xdr:colOff>
      <xdr:row>4</xdr:row>
      <xdr:rowOff>103925</xdr:rowOff>
    </xdr:to>
    <xdr:pic>
      <xdr:nvPicPr>
        <xdr:cNvPr id="2" name="Picture 1">
          <a:extLst>
            <a:ext uri="{FF2B5EF4-FFF2-40B4-BE49-F238E27FC236}">
              <a16:creationId xmlns:a16="http://schemas.microsoft.com/office/drawing/2014/main" id="{B75F4B5F-A1FD-4C16-DFF9-4F2328C88CE8}"/>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316344" y="0"/>
          <a:ext cx="1805133" cy="12446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63500</xdr:colOff>
      <xdr:row>0</xdr:row>
      <xdr:rowOff>381000</xdr:rowOff>
    </xdr:from>
    <xdr:to>
      <xdr:col>8</xdr:col>
      <xdr:colOff>801833</xdr:colOff>
      <xdr:row>0</xdr:row>
      <xdr:rowOff>1636392</xdr:rowOff>
    </xdr:to>
    <xdr:pic>
      <xdr:nvPicPr>
        <xdr:cNvPr id="2" name="Picture 1">
          <a:extLst>
            <a:ext uri="{FF2B5EF4-FFF2-40B4-BE49-F238E27FC236}">
              <a16:creationId xmlns:a16="http://schemas.microsoft.com/office/drawing/2014/main" id="{72C8AD0D-3D5B-1D4F-BEB8-922044273646}"/>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9664700" y="381000"/>
          <a:ext cx="1805133" cy="12553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237067</xdr:colOff>
      <xdr:row>0</xdr:row>
      <xdr:rowOff>203200</xdr:rowOff>
    </xdr:from>
    <xdr:to>
      <xdr:col>0</xdr:col>
      <xdr:colOff>2042200</xdr:colOff>
      <xdr:row>0</xdr:row>
      <xdr:rowOff>1434428</xdr:rowOff>
    </xdr:to>
    <xdr:pic>
      <xdr:nvPicPr>
        <xdr:cNvPr id="2" name="Picture 1">
          <a:extLst>
            <a:ext uri="{FF2B5EF4-FFF2-40B4-BE49-F238E27FC236}">
              <a16:creationId xmlns:a16="http://schemas.microsoft.com/office/drawing/2014/main" id="{8365CC02-1E12-894E-B187-6C1EDB01DF75}"/>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237067" y="203200"/>
          <a:ext cx="1805133" cy="123122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338667</xdr:colOff>
      <xdr:row>0</xdr:row>
      <xdr:rowOff>135467</xdr:rowOff>
    </xdr:from>
    <xdr:to>
      <xdr:col>5</xdr:col>
      <xdr:colOff>1693333</xdr:colOff>
      <xdr:row>1</xdr:row>
      <xdr:rowOff>839853</xdr:rowOff>
    </xdr:to>
    <xdr:pic>
      <xdr:nvPicPr>
        <xdr:cNvPr id="2" name="Picture 1">
          <a:extLst>
            <a:ext uri="{FF2B5EF4-FFF2-40B4-BE49-F238E27FC236}">
              <a16:creationId xmlns:a16="http://schemas.microsoft.com/office/drawing/2014/main" id="{F99788E7-B5FD-294A-980E-E2A3B5B324FC}"/>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575734" y="135467"/>
          <a:ext cx="1354666" cy="9075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778933</xdr:colOff>
      <xdr:row>0</xdr:row>
      <xdr:rowOff>643466</xdr:rowOff>
    </xdr:from>
    <xdr:to>
      <xdr:col>2</xdr:col>
      <xdr:colOff>53848</xdr:colOff>
      <xdr:row>2</xdr:row>
      <xdr:rowOff>84668</xdr:rowOff>
    </xdr:to>
    <xdr:pic>
      <xdr:nvPicPr>
        <xdr:cNvPr id="2" name="Picture 1">
          <a:extLst>
            <a:ext uri="{FF2B5EF4-FFF2-40B4-BE49-F238E27FC236}">
              <a16:creationId xmlns:a16="http://schemas.microsoft.com/office/drawing/2014/main" id="{C6ED5272-4262-DA4B-B913-5304CFBC1FCA}"/>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0000" b="90000" l="10000" r="90000"/>
                  </a14:imgEffect>
                </a14:imgLayer>
              </a14:imgProps>
            </a:ext>
          </a:extLst>
        </a:blip>
        <a:srcRect l="29952" t="9420" r="30392" b="28985"/>
        <a:stretch>
          <a:fillRect/>
        </a:stretch>
      </xdr:blipFill>
      <xdr:spPr>
        <a:xfrm>
          <a:off x="778933" y="643466"/>
          <a:ext cx="2339848" cy="15578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UBL_DCF_Dashboard_Index_v2.xlsx" TargetMode="External"/><Relationship Id="rId2" Type="http://schemas.openxmlformats.org/officeDocument/2006/relationships/externalLinkPath" Target="/Users/shubh/Downloads/UBL_DCF_Dashboard_Index_v2.xlsx" TargetMode="External"/><Relationship Id="rId1" Type="http://schemas.openxmlformats.org/officeDocument/2006/relationships/externalLinkPath" Target="/Users/shubh/Downloads/UBL_DCF_Dashboard_Index_v2.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DEX"/>
      <sheetName val="Balance Sheet"/>
      <sheetName val="Income Statement"/>
      <sheetName val="Cash flow"/>
      <sheetName val="Assumptions"/>
      <sheetName val="Working "/>
      <sheetName val="FS"/>
      <sheetName val="Valuation"/>
    </sheetNames>
    <sheetDataSet>
      <sheetData sheetId="0"/>
      <sheetData sheetId="1"/>
      <sheetData sheetId="2"/>
      <sheetData sheetId="3"/>
      <sheetData sheetId="4"/>
      <sheetData sheetId="5"/>
      <sheetData sheetId="6">
        <row r="4">
          <cell r="R4" t="str">
            <v>FY2035</v>
          </cell>
        </row>
        <row r="8">
          <cell r="R8"/>
        </row>
        <row r="18">
          <cell r="R18"/>
        </row>
        <row r="26">
          <cell r="R26"/>
        </row>
      </sheetData>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s>
    <sheetDataSet>
      <sheetData sheetId="0"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7">
  <rv s="0">
    <v>https://www.bing.com/financeapi/forcetrigger?t=ahkgh7&amp;q=XNSE%3aUBL&amp;form=skydnc</v>
    <v>Learn more on Bing</v>
  </rv>
  <rv s="1">
    <v>0</v>
    <v>UNITED BREWERIES LIMITED (XNSE:UBL)</v>
    <v>2</v>
    <v>3</v>
    <v>Finance</v>
    <v>4</v>
    <v>en-GB</v>
    <v>ahkgh7</v>
    <v>268435456</v>
    <v>1</v>
    <v>Powered by Refinitiv</v>
    <v>1844</v>
    <v>1140.3</v>
    <v>0.77680000000000005</v>
    <v>30.7</v>
    <v>2.6509000000000001E-2</v>
    <v>INR</v>
    <v>United Breweries Limited is an India-based beer company which is engaged in the manufacturing, purchasing, and selling of beer and non-alcoholic beverages. The Company’s Beer segment includes the manufacture, purchase, and sale of beer, including licensing of brands. Its product range includes internationally recognized beers, non-alcoholic beverages, packaged drinking water, and soda. Its alcoholic brands include Heineken Original; Heineken Silver; Amstel Bier; Amstel Grande Bier; Kingfisher Premium; Kingfisher Strong; Kingfisher Ultra; Kingfisher Ultra Max; Kingfisher Ultra Witbier; Kingfisher Storm; Kingfisher Blue; Kingfisher Flavour Mango; Kingfisher Flavour Lemon; Bullet Super Strong; Cannon 1000, and others. Its non-alcoholic brands include Heineken 0.0; Kingfisher Premium Packaged Drinking Water; Kingfisher Strong Power Soda, and Kingfisher Ultra-Premium Soda. The Company has manufacturing facilities in India. It has operations in approximately 50 international markets.</v>
    <v>1521</v>
    <v>National Stock Exchange of India</v>
    <v>XNSE</v>
    <v>XNSE</v>
    <v>Level 3, 4 &amp; 5, UB Towers, UB City, 24 Vittal Mallya Road, BANGALORE, KARNATAKA, 560001 IN</v>
    <v>1194.8</v>
    <v>Beverages</v>
    <v>Stock</v>
    <v>46296.467673611114</v>
    <v>0</v>
    <v>1140.3</v>
    <v>306207600000</v>
    <v>UNITED BREWERIES LIMITED</v>
    <v>UNITED BREWERIES LIMITED</v>
    <v>1158.0999999999999</v>
    <v>79.483800000000002</v>
    <v>1158.0999999999999</v>
    <v>1188.8</v>
    <v>264405200</v>
    <v>UBL</v>
    <v>UNITED BREWERIES LIMITED (XNSE:UBL)</v>
    <v>143713</v>
    <v>146670</v>
    <v>1999</v>
  </rv>
  <rv s="2">
    <v>1</v>
  </rv>
  <rv s="0">
    <v>https://www.bing.com/financeapi/forcetrigger?t=ahdijc&amp;q=XBOM%3a532432&amp;form=skydnc</v>
    <v>Learn more on Bing</v>
  </rv>
  <rv s="1">
    <v>0</v>
    <v>UNITED SPIRITS LIMITED (XBOM:532432)</v>
    <v>2</v>
    <v>3</v>
    <v>Finance</v>
    <v>5</v>
    <v>en-GB</v>
    <v>ahdijc</v>
    <v>268435456</v>
    <v>1</v>
    <v>Powered by Refinitiv</v>
    <v>1575.75</v>
    <v>1210.4000000000001</v>
    <v>1.1980999999999999</v>
    <v>-11.8</v>
    <v>-8.7410000000000005E-3</v>
    <v>INR</v>
    <v>United Spirits Limited is an India-based company. The Company is s engaged in the business of manufacture, purchase and sale of beverage alcohol and other allied spirits, including through tie-up manufacturing units and through strategic franchising of some of its brands. The Company operates through two segments: Beverage alcohol, and Sports. Beverage alcohol segment is engaged in the manufacture, purchase, franchise and sale of beverage alcohol and other allied spirits. Sports segment owns rights to operate sports franchises. The Company’s portfolio includes premium brands such as Johnnie Walker, Black Dog, Black &amp; White, Vat 69, Antiquity, Signature, Singelton, Royal Challenge, McDowell’s No 1, Smirnoff, Ketel One, Tanqueray, Captain Morgan, and others. The Company’s subsidiary is Royal Challengers Sports Private Limited. Royal Challengers Sports Private Limited, holds the rights to operate a sports franchise.</v>
    <v>2224</v>
    <v>Bombay Stock Exchange</v>
    <v>XBOM</v>
    <v>XBOM</v>
    <v>UB Tower #24, Vittal Mallya Road, BANGALORE, KARNATAKA, 560001 IN</v>
    <v>1347</v>
    <v>Beverages</v>
    <v>Stock</v>
    <v>46296.754872685182</v>
    <v>3</v>
    <v>1317.6</v>
    <v>984833100000</v>
    <v>UNITED SPIRITS LIMITED</v>
    <v>UNITED SPIRITS LIMITED</v>
    <v>1347</v>
    <v>62.72</v>
    <v>1350</v>
    <v>1338.2</v>
    <v>727350800</v>
    <v>532432</v>
    <v>UNITED SPIRITS LIMITED (XBOM:532432)</v>
    <v>64541</v>
    <v>1369210</v>
    <v>1999</v>
  </rv>
  <rv s="2">
    <v>4</v>
  </rv>
  <rv s="0">
    <v>https://www.bing.com/financeapi/forcetrigger?t=ahjkrw&amp;q=XNSE%3aRADICO&amp;form=skydnc</v>
    <v>Learn more on Bing</v>
  </rv>
  <rv s="1">
    <v>0</v>
    <v>RADICO KHAITAN LIMITED (XNSE:RADICO)</v>
    <v>2</v>
    <v>3</v>
    <v>Finance</v>
    <v>4</v>
    <v>en-GB</v>
    <v>ahjkrw</v>
    <v>268435456</v>
    <v>1</v>
    <v>Powered by Refinitiv</v>
    <v>4747</v>
    <v>2500</v>
    <v>1.0342</v>
    <v>-129</v>
    <v>-2.9546000000000003E-2</v>
    <v>INR</v>
    <v>Radico Khaitan Limited is an India-based company. The Company is engaged in alcohol manufacturing. Its brands include Rampur Indian Single Malt Whisky, Jaisalmer Indian Craft Gin, Magic Moments Verve Vodka, Morpheus Premium and Morpheus Blue Super Premium Brandy, 8PM Premium Black Whisky, After Dark Whisky, Pluton Bay Rum, Regal Talon Whisky, Whytehall Brandy, 1965 - Spirit of Victory Rum. It operates Rampur Distillery in Uttar Pradesh and Radico NV Distilleries Maharashtra Limited in Aurangabad. It supplies branded liquor in India to the Canteen Stores Department (CSD) and exports to over 85 countries worldwide. Its international brand portfolio has a range of brands in Whisky, Vodka, Rum, Brandy, Gin, and Ready-to-Drink (RTD). It offers Rampur Indian Single Malt Whisky, Jaisalmer Indian Craft Gin, Honey Whisky, Cinnamon Whisky, and flavoured Rums for international markets. It offers a wide range of pack sizes from 1.75 liters to 5 centiliters.</v>
    <v>1543</v>
    <v>National Stock Exchange of India</v>
    <v>XNSE</v>
    <v>XNSE</v>
    <v>Plot No. J-1, Block B-1,, Mohan Co-operative Industrial Area,, Mathura Road, NEW DELHI, DELHI, 110044 IN</v>
    <v>4394.2</v>
    <v>Beverages</v>
    <v>Stock</v>
    <v>46296.468194444446</v>
    <v>6</v>
    <v>4234.8</v>
    <v>584996300000</v>
    <v>RADICO KHAITAN LIMITED</v>
    <v>RADICO KHAITAN LIMITED</v>
    <v>4366.5</v>
    <v>83.07</v>
    <v>4366</v>
    <v>4237</v>
    <v>133989100</v>
    <v>RADICO</v>
    <v>RADICO KHAITAN LIMITED (XNSE:RADICO)</v>
    <v>426809</v>
    <v>287050</v>
    <v>1983</v>
  </rv>
  <rv s="2">
    <v>7</v>
  </rv>
  <rv s="0">
    <v>https://www.bing.com/financeapi/forcetrigger?t=ahhwc7&amp;q=XNSE%3aGLOBUSSPR&amp;form=skydnc</v>
    <v>Learn more on Bing</v>
  </rv>
  <rv s="1">
    <v>0</v>
    <v>GLOBUS SPIRITS LIMITED (XNSE:GLOBUSSPR)</v>
    <v>2</v>
    <v>3</v>
    <v>Finance</v>
    <v>4</v>
    <v>en-GB</v>
    <v>ahhwc7</v>
    <v>268435456</v>
    <v>1</v>
    <v>Powered by Refinitiv</v>
    <v>1252.8</v>
    <v>775</v>
    <v>1.7098</v>
    <v>0.45</v>
    <v>5.7220000000000003E-4</v>
    <v>INR</v>
    <v>Globus Spirits Limited is an India-based company, which is primarily engaged in the business of the manufacture and sale of Indian Made Indian Liquor (IMIL), Indian Made Foreign Liquor (IMFL), and Bulk Alcohol. Its business segments include manufacturing and consumer business. The Company’s consumer products are categorized under Regular &amp; Others and Prestige &amp; Above categories, which include Ghoomar, Heer Ranjha, Shahi, Globus Special Series, Goldee - Blue and Red, Globus Spirits Dry Gin, Oakton Barrel Aged Grain Whisky, and White Lace. The Company’s manufacturing products include extra neutral alcohol (ENA), bioethanol, special denatured spirit, technical alcohol, franchisee bottling, byproducts, and fusel oil. Its manufacturing facilities spread across West Bengal, Bihar, Haryana, Panagarh, Jharkhand, and Rajasthan. Its fully integrated plants facilitate the production of Rectified Spirit, Ethanol, Grain Neutral Alcohol, Value-priced Spirits, and Premium Spirits.</v>
    <v>1074</v>
    <v>National Stock Exchange of India</v>
    <v>XNSE</v>
    <v>XNSE</v>
    <v>F-0, Ground Floor,, The Mira Corporate Suites,, Plot No. 1 &amp; 2, Ishwar Nagar,Mathura Road, NEW DELHI, DELHI, 110065 IN</v>
    <v>794.4</v>
    <v>Beverages</v>
    <v>Stock</v>
    <v>46296.467673611114</v>
    <v>9</v>
    <v>775</v>
    <v>24742730000</v>
    <v>GLOBUS SPIRITS LIMITED</v>
    <v>GLOBUS SPIRITS LIMITED</v>
    <v>788.6</v>
    <v>22.68</v>
    <v>786.45</v>
    <v>786.9</v>
    <v>31461290</v>
    <v>GLOBUSSPR</v>
    <v>GLOBUS SPIRITS LIMITED (XNSE:GLOBUSSPR)</v>
    <v>55391</v>
    <v>64750</v>
    <v>1993</v>
  </rv>
  <rv s="2">
    <v>10</v>
  </rv>
  <rv s="3">
    <v>6</v>
    <v>ALLIED BLENDERS AND DISTILLERS LIMITED (XNSE:ABDL)</v>
    <v>7</v>
    <v>3</v>
    <v>Finance</v>
    <v>4</v>
    <v>en-GB</v>
    <v>cdlqc7</v>
    <v>268435456</v>
    <v>1</v>
    <v>Powered by Refinitiv</v>
    <v>753.8</v>
    <v>382.1</v>
    <v>1.4710000000000001</v>
    <v>-39.450000000000003</v>
    <v>-5.4875999999999994E-2</v>
    <v>INR</v>
    <v>Allied Blenders and Distillers Limited is an India-based spirits company. The Company is engaged in the business of manufacturing and marketing of Indian-Made Foreign Liquor (IMFL) products. Its product categories include whisky, gin, brandy, rum, vodka and packaged drinking water. The Company's whisky products include Arthaus Collective Blended Malt Scotch Whisky, Sterling Reserve Blend 7 Whisky, Officer’s Choice Whisky, ICONiQ Winter Whisky, X&amp;O Barrel, Srishti Premium Whisky, and Sterling Reserve Blend 10 Whisky. Its gin products include Zoya Special Batch Gin, Zoya Watermelon Gin and Zoya Espresso Coffee Gin. Its brandy products include Kyron Premium Brandy and Officer’s Choice Brandy. Its rum products include Jolly Roger Rum and Officer’s Choice Rum. Its Class 21 vodka is available in 750 ml, 375 ml, 180 ml and 90 ml. The Company is the legal and beneficial owner of worldwide right, title interest in the brands Mansion House and Savoy Club (excluding certain territories).</v>
    <v>938</v>
    <v>National Stock Exchange of India</v>
    <v>XNSE</v>
    <v>XNSE</v>
    <v>Ashford Centre, 3rd and 4th floor, Shankar Rao Naram Marg, Lower Parel (West), MUMBAI, MAHARASHTRA, 400 013 IN</v>
    <v>718</v>
    <v>Beverages</v>
    <v>Stock</v>
    <v>46296.46769675926</v>
    <v>673.95</v>
    <v>201083600000</v>
    <v>ALLIED BLENDERS AND DISTILLERS LIMITED</v>
    <v>ALLIED BLENDERS AND DISTILLERS LIMITED</v>
    <v>718</v>
    <v>90.08</v>
    <v>718.9</v>
    <v>679.45</v>
    <v>279710100</v>
    <v>ABDL</v>
    <v>ALLIED BLENDERS AND DISTILLERS LIMITED (XNSE:ABDL)</v>
    <v>1056525</v>
    <v>1783790</v>
    <v>2008</v>
  </rv>
  <rv s="2">
    <v>12</v>
  </rv>
  <rv s="0">
    <v>https://www.bing.com/financeapi/forcetrigger?t=ahjunm&amp;q=XNSE%3aSDBL&amp;form=skydnc</v>
    <v>Learn more on Bing</v>
  </rv>
  <rv s="1">
    <v>0</v>
    <v>SOM DISTILLERIES AND BREWERIES LIMITED (XNSE:SDBL)</v>
    <v>2</v>
    <v>3</v>
    <v>Finance</v>
    <v>4</v>
    <v>en-GB</v>
    <v>ahjunm</v>
    <v>268435456</v>
    <v>1</v>
    <v>Powered by Refinitiv</v>
    <v>136</v>
    <v>61.8</v>
    <v>1.6032999999999999</v>
    <v>-3.23</v>
    <v>-4.1319999999999996E-2</v>
    <v>INR</v>
    <v>Som Distilleries and Breweries Limited is an India-based company, which is primarily engaged in the production of beer and blending and bottling of Indian Made Foreign Liquor (IMFL). It has a diverse portfolio of brands spanning Beer, Spirits and Alcopop. The Company’s portfolio includes Hunter Strong Premium Beer, Woodpecker Wheat Beer, Black Fort Super Strong Beer, Black Fort Premium Lager Beer, Pentagon Gold Edition Whisky, Milestone Blue Whisky, Legend Premium Whisky, Pentagon XO Premium Rum, Black Fort Rum, White Fox Triple Distilled Vodka, White Fox Triple Distilled Vodka Naughty Green Apple, White Fox Triple Distilled Vodka Naughty Orange, Legend Rare Brandy, Milestone VSOP Brandy, White Fox Refresh Cosmo Cranberry Vodka Mixed Ready to Drink, White Fox Refresh Tangy Lemon Vodka Mixed Ready to Drink, White Fox Refresh Naughty Orange Vodka Mixed Ready to Drink, and White Fox Refresh Wild Passion Fruit Vodka Mixed Ready to Drink.</v>
    <v>460</v>
    <v>National Stock Exchange of India</v>
    <v>XNSE</v>
    <v>XNSE</v>
    <v>Som House, 23, Zone-II,, Maharana Pratap Nagar, BHOPAL, MADHYA PRADESH, 462011 IN</v>
    <v>78.17</v>
    <v>Beverages</v>
    <v>Stock</v>
    <v>46296.467638888891</v>
    <v>14</v>
    <v>73.5</v>
    <v>16251650000</v>
    <v>SOM DISTILLERIES AND BREWERIES LIMITED</v>
    <v>SOM DISTILLERIES AND BREWERIES LIMITED</v>
    <v>78.099999999999994</v>
    <v>0</v>
    <v>78.17</v>
    <v>74.94</v>
    <v>207901300</v>
    <v>SDBL</v>
    <v>SOM DISTILLERIES AND BREWERIES LIMITED (XNSE:SDBL)</v>
    <v>938787</v>
    <v>4771760</v>
    <v>1993</v>
  </rv>
  <rv s="2">
    <v>15</v>
  </rv>
</rvData>
</file>

<file path=xl/richData/rdrichvaluestructure.xml><?xml version="1.0" encoding="utf-8"?>
<rvStructures xmlns="http://schemas.microsoft.com/office/spreadsheetml/2017/richdata" count="4">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8">
    <spb s="0">
      <v>0</v>
      <v>Name</v>
      <v>LearnMoreOnLink</v>
    </spb>
    <spb s="1">
      <v>0</v>
      <v>0</v>
      <v>0</v>
    </spb>
    <spb s="2">
      <v>1</v>
      <v>1</v>
      <v>1</v>
      <v>1</v>
    </spb>
    <spb s="3">
      <v>1</v>
      <v>2</v>
      <v>2</v>
      <v>1</v>
      <v>3</v>
      <v>1</v>
      <v>1</v>
      <v>1</v>
      <v>4</v>
      <v>4</v>
      <v>5</v>
      <v>6</v>
      <v>1</v>
      <v>1</v>
      <v>1</v>
      <v>4</v>
      <v>7</v>
      <v>8</v>
      <v>9</v>
      <v>4</v>
    </spb>
    <spb s="4">
      <v>Delayed 5 minutes</v>
      <v>from previous close</v>
      <v>from previous close</v>
      <v>GMT</v>
    </spb>
    <spb s="4">
      <v>Delayed 15 minutes</v>
      <v>from previous close</v>
      <v>from previous close</v>
      <v>GMT</v>
    </spb>
    <spb s="5">
      <v>1</v>
      <v>Name</v>
    </spb>
    <spb s="6">
      <v>1</v>
      <v>1</v>
      <v>1</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Order" t="spba"/>
    <k n="TitleProperty" t="s"/>
  </s>
  <s>
    <k n="ExchangeID" t="spb"/>
    <k n="UniqueName" t="spb"/>
    <k n="`%ProviderInfo"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0" formatCode="General"/>
    </x:dxf>
    <x:dxf>
      <x:numFmt numFmtId="4" formatCode="#,##0.00"/>
    </x:dxf>
    <x:dxf>
      <x:numFmt numFmtId="3" formatCode="#,##0"/>
    </x:dxf>
    <x:dxf>
      <x:numFmt numFmtId="14" formatCode="0.00%"/>
    </x:dxf>
    <x:dxf>
      <x:numFmt numFmtId="1" formatCode="0"/>
    </x:dxf>
    <x:dxf>
      <x:numFmt numFmtId="2" formatCode="0.00"/>
    </x:dxf>
    <x:dxf>
      <x:numFmt numFmtId="27" formatCode="dd/mm/yy\ h:mm"/>
    </x:dxf>
  </dxfs>
  <richProperties>
    <rPr n="NumberFormat" t="s"/>
    <rPr n="IsTitleField" t="b"/>
  </richProperties>
  <richStyles>
    <rSty dxfid="0">
      <rpv i="0">_([$₹-en-IN]* #,##0.00_);_([$₹-en-IN]* (#,##0.00);_([$₹-en-IN]* "-"??_);_(@_)</rpv>
    </rSty>
    <rSty dxfid="1">
      <rpv i="0">#,##0.00</rpv>
    </rSty>
    <rSty>
      <rpv i="1">1</rpv>
    </rSty>
    <rSty dxfid="2">
      <rpv i="0">#,##0</rpv>
    </rSty>
    <rSty dxfid="3"/>
    <rSty dxfid="0">
      <rpv i="0">_([$₹-en-IN]* #,##0_);_([$₹-en-IN]* (#,##0);_([$₹-en-IN]* "-"_);_(@_)</rpv>
    </rSty>
    <rSty dxfid="6"/>
    <rSty dxfid="4">
      <rpv i="0">0</rpv>
    </rSty>
    <rSty dxfid="5">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5BEE5-3F89-9E49-87E0-1F54ED70FC11}">
  <dimension ref="B2:P109"/>
  <sheetViews>
    <sheetView showGridLines="0" tabSelected="1" zoomScaleNormal="90" workbookViewId="0">
      <selection activeCell="Q7" sqref="Q7"/>
    </sheetView>
  </sheetViews>
  <sheetFormatPr baseColWidth="10" defaultColWidth="8.83203125" defaultRowHeight="16" x14ac:dyDescent="0.2"/>
  <cols>
    <col min="1" max="1" width="3" customWidth="1"/>
    <col min="2" max="2" width="20" customWidth="1"/>
    <col min="3" max="3" width="15" customWidth="1"/>
    <col min="4" max="4" width="17.6640625" bestFit="1" customWidth="1"/>
    <col min="5" max="5" width="3" customWidth="1"/>
    <col min="6" max="6" width="24.33203125" bestFit="1" customWidth="1"/>
    <col min="7" max="8" width="15" customWidth="1"/>
    <col min="9" max="9" width="3" customWidth="1"/>
    <col min="10" max="10" width="20" customWidth="1"/>
    <col min="11" max="12" width="15" customWidth="1"/>
    <col min="13" max="13" width="3" customWidth="1"/>
    <col min="14" max="14" width="20" customWidth="1"/>
    <col min="15" max="15" width="15" customWidth="1"/>
  </cols>
  <sheetData>
    <row r="2" spans="2:15" ht="30" customHeight="1" x14ac:dyDescent="0.2">
      <c r="B2" s="256" t="e" vm="1">
        <v>#VALUE!</v>
      </c>
      <c r="C2" s="252"/>
      <c r="D2" s="252"/>
      <c r="E2" s="252"/>
      <c r="F2" s="252"/>
      <c r="G2" s="252"/>
      <c r="H2" s="252"/>
      <c r="I2" s="252"/>
      <c r="J2" s="252"/>
      <c r="K2" s="252"/>
      <c r="L2" s="252"/>
      <c r="M2" s="252"/>
      <c r="N2" s="252"/>
      <c r="O2" s="252"/>
    </row>
    <row r="3" spans="2:15" ht="56" customHeight="1" x14ac:dyDescent="0.2">
      <c r="B3" s="252"/>
      <c r="C3" s="252"/>
      <c r="D3" s="252"/>
      <c r="E3" s="252"/>
      <c r="F3" s="252"/>
      <c r="G3" s="252"/>
      <c r="H3" s="252"/>
      <c r="I3" s="252"/>
      <c r="J3" s="252"/>
      <c r="K3" s="252"/>
      <c r="L3" s="252"/>
      <c r="M3" s="252"/>
      <c r="N3" s="252"/>
      <c r="O3" s="252"/>
    </row>
    <row r="4" spans="2:15" ht="22" customHeight="1" x14ac:dyDescent="0.2">
      <c r="B4" s="257" t="s">
        <v>518</v>
      </c>
      <c r="C4" s="255"/>
      <c r="D4" s="255"/>
      <c r="E4" s="255"/>
      <c r="F4" s="255"/>
      <c r="G4" s="255"/>
      <c r="H4" s="255"/>
      <c r="I4" s="255"/>
      <c r="J4" s="255"/>
      <c r="K4" s="255"/>
      <c r="L4" s="255"/>
      <c r="M4" s="255"/>
      <c r="N4" s="255"/>
      <c r="O4" s="255"/>
    </row>
    <row r="5" spans="2:15" ht="22" customHeight="1" x14ac:dyDescent="0.2"/>
    <row r="6" spans="2:15" ht="22" customHeight="1" x14ac:dyDescent="0.35">
      <c r="B6" s="326" t="s">
        <v>359</v>
      </c>
      <c r="C6" s="325"/>
      <c r="D6" s="325"/>
      <c r="E6" s="327"/>
      <c r="F6" s="326" t="s">
        <v>519</v>
      </c>
      <c r="G6" s="325"/>
      <c r="H6" s="325"/>
      <c r="I6" s="327"/>
      <c r="J6" s="326" t="s">
        <v>520</v>
      </c>
      <c r="K6" s="325"/>
      <c r="L6" s="325"/>
      <c r="M6" s="327"/>
      <c r="N6" s="326" t="s">
        <v>147</v>
      </c>
      <c r="O6" s="325"/>
    </row>
    <row r="7" spans="2:15" ht="22" customHeight="1" x14ac:dyDescent="0.35">
      <c r="B7" s="324" cm="1">
        <f t="array" aca="1" ref="B7" ca="1">_FV(B2,"Open")</f>
        <v>1158.0999999999999</v>
      </c>
      <c r="C7" s="325"/>
      <c r="D7" s="325"/>
      <c r="E7" s="327"/>
      <c r="F7" s="324">
        <f>Valuation!$J$37</f>
        <v>1028.5767503050904</v>
      </c>
      <c r="G7" s="325"/>
      <c r="H7" s="325"/>
      <c r="I7" s="327"/>
      <c r="J7" s="328">
        <f>Valuation!J39</f>
        <v>-0.14993656999579305</v>
      </c>
      <c r="K7" s="325"/>
      <c r="L7" s="325"/>
      <c r="M7" s="327"/>
      <c r="N7" s="328">
        <f>Valuation!C45</f>
        <v>0.12882212093704473</v>
      </c>
      <c r="O7" s="325"/>
    </row>
    <row r="8" spans="2:15" ht="22" customHeight="1" x14ac:dyDescent="0.35">
      <c r="B8" s="325"/>
      <c r="C8" s="325"/>
      <c r="D8" s="325"/>
      <c r="E8" s="327"/>
      <c r="F8" s="325"/>
      <c r="G8" s="325"/>
      <c r="H8" s="325"/>
      <c r="I8" s="327"/>
      <c r="J8" s="325"/>
      <c r="K8" s="325"/>
      <c r="L8" s="325"/>
      <c r="M8" s="327"/>
      <c r="N8" s="325"/>
      <c r="O8" s="325"/>
    </row>
    <row r="9" spans="2:15" ht="22" customHeight="1" x14ac:dyDescent="0.2"/>
    <row r="10" spans="2:15" ht="22" customHeight="1" x14ac:dyDescent="0.2">
      <c r="B10" s="250" t="s">
        <v>521</v>
      </c>
      <c r="C10" s="255"/>
      <c r="D10" s="255"/>
      <c r="E10" s="232"/>
      <c r="F10" s="250" t="s">
        <v>522</v>
      </c>
      <c r="G10" s="255"/>
      <c r="H10" s="255"/>
      <c r="I10" s="232"/>
      <c r="J10" s="250" t="s">
        <v>523</v>
      </c>
      <c r="K10" s="250"/>
      <c r="L10" s="250"/>
      <c r="M10" s="233"/>
      <c r="N10" s="251"/>
      <c r="O10" s="251"/>
    </row>
    <row r="11" spans="2:15" ht="22" customHeight="1" x14ac:dyDescent="0.2">
      <c r="B11" s="336" t="str">
        <f>HYPERLINK("#'Assumptions'!A1","Assumptions")</f>
        <v>Assumptions</v>
      </c>
      <c r="C11" s="336" t="s">
        <v>322</v>
      </c>
      <c r="D11" s="336" t="s">
        <v>524</v>
      </c>
      <c r="E11" s="337"/>
      <c r="F11" s="329" t="s">
        <v>525</v>
      </c>
      <c r="G11" s="338">
        <f>Valuation!J31</f>
        <v>2746577.9278066591</v>
      </c>
      <c r="H11" s="331"/>
      <c r="I11" s="337"/>
      <c r="J11" s="329" t="s">
        <v>149</v>
      </c>
      <c r="K11" s="330">
        <f>Assumptions!C102</f>
        <v>7.0999999999999994E-2</v>
      </c>
      <c r="L11" s="331"/>
      <c r="M11" s="337"/>
      <c r="N11" s="337"/>
      <c r="O11" s="337"/>
    </row>
    <row r="12" spans="2:15" ht="22" customHeight="1" x14ac:dyDescent="0.2">
      <c r="B12" s="336" t="s">
        <v>526</v>
      </c>
      <c r="C12" s="336" t="s">
        <v>178</v>
      </c>
      <c r="D12" s="336" t="s">
        <v>527</v>
      </c>
      <c r="E12" s="337"/>
      <c r="F12" s="329" t="s">
        <v>528</v>
      </c>
      <c r="G12" s="338">
        <f>Valuation!J35</f>
        <v>2719556.9278066591</v>
      </c>
      <c r="H12" s="331"/>
      <c r="I12" s="337"/>
      <c r="J12" s="329" t="s">
        <v>150</v>
      </c>
      <c r="K12" s="332">
        <f>Assumptions!C104</f>
        <v>0.92</v>
      </c>
      <c r="L12" s="331"/>
      <c r="M12" s="337"/>
      <c r="N12" s="337"/>
      <c r="O12" s="337"/>
    </row>
    <row r="13" spans="2:15" ht="22" customHeight="1" x14ac:dyDescent="0.2">
      <c r="B13" s="336" t="s">
        <v>529</v>
      </c>
      <c r="C13" s="339" t="str">
        <f>HYPERLINK("#CCA!B2","CCA")</f>
        <v>CCA</v>
      </c>
      <c r="D13" s="336" t="s">
        <v>459</v>
      </c>
      <c r="E13" s="337"/>
      <c r="F13" s="329" t="s">
        <v>530</v>
      </c>
      <c r="G13" s="338">
        <f>Valuation!J36</f>
        <v>2644</v>
      </c>
      <c r="H13" s="331"/>
      <c r="I13" s="337"/>
      <c r="J13" s="329" t="s">
        <v>152</v>
      </c>
      <c r="K13" s="330">
        <f>Assumptions!C103</f>
        <v>6.5000000000000002E-2</v>
      </c>
      <c r="L13" s="331"/>
      <c r="M13" s="337"/>
      <c r="N13" s="337"/>
      <c r="O13" s="337"/>
    </row>
    <row r="14" spans="2:15" ht="22" customHeight="1" x14ac:dyDescent="0.2">
      <c r="J14" s="333" t="s">
        <v>155</v>
      </c>
      <c r="K14" s="334">
        <f>Assumptions!C109</f>
        <v>0.04</v>
      </c>
      <c r="L14" s="335"/>
    </row>
    <row r="15" spans="2:15" ht="22" customHeight="1" x14ac:dyDescent="0.2"/>
    <row r="16" spans="2:15" ht="22" customHeight="1" x14ac:dyDescent="0.2">
      <c r="B16" s="240" t="s">
        <v>533</v>
      </c>
      <c r="C16" s="242"/>
      <c r="D16" s="242"/>
      <c r="E16" s="242"/>
      <c r="F16" s="242"/>
      <c r="G16" s="242"/>
      <c r="H16" s="242"/>
      <c r="J16" s="253" t="s">
        <v>534</v>
      </c>
      <c r="K16" s="254"/>
      <c r="L16" s="254"/>
      <c r="M16" s="254"/>
      <c r="N16" s="254"/>
      <c r="O16" s="254"/>
    </row>
    <row r="17" spans="2:16" ht="22" customHeight="1" x14ac:dyDescent="0.2"/>
    <row r="18" spans="2:16" ht="22" customHeight="1" x14ac:dyDescent="0.2"/>
    <row r="19" spans="2:16" ht="22" customHeight="1" x14ac:dyDescent="0.2"/>
    <row r="20" spans="2:16" ht="22" customHeight="1" x14ac:dyDescent="0.2"/>
    <row r="21" spans="2:16" ht="22" customHeight="1" x14ac:dyDescent="0.2"/>
    <row r="22" spans="2:16" ht="22" customHeight="1" x14ac:dyDescent="0.2"/>
    <row r="23" spans="2:16" ht="22" customHeight="1" x14ac:dyDescent="0.2"/>
    <row r="24" spans="2:16" ht="22" customHeight="1" x14ac:dyDescent="0.2"/>
    <row r="25" spans="2:16" ht="22" customHeight="1" x14ac:dyDescent="0.2"/>
    <row r="26" spans="2:16" ht="22" customHeight="1" x14ac:dyDescent="0.2"/>
    <row r="27" spans="2:16" ht="22" customHeight="1" x14ac:dyDescent="0.2">
      <c r="B27" s="240" t="s">
        <v>536</v>
      </c>
      <c r="C27" s="242"/>
      <c r="D27" s="242"/>
      <c r="E27" s="242"/>
      <c r="F27" s="242"/>
      <c r="G27" s="242"/>
      <c r="H27" s="242"/>
      <c r="J27" s="240" t="s">
        <v>537</v>
      </c>
      <c r="K27" s="240"/>
      <c r="L27" s="240"/>
      <c r="M27" s="240"/>
      <c r="N27" s="240"/>
      <c r="O27" s="240"/>
      <c r="P27" s="236"/>
    </row>
    <row r="28" spans="2:16" ht="22" customHeight="1" x14ac:dyDescent="0.2">
      <c r="J28" s="218" t="s">
        <v>448</v>
      </c>
      <c r="K28" s="245" t="s">
        <v>445</v>
      </c>
      <c r="L28" s="245"/>
      <c r="N28" s="243" t="s">
        <v>449</v>
      </c>
      <c r="O28" s="244"/>
    </row>
    <row r="29" spans="2:16" ht="22" customHeight="1" x14ac:dyDescent="0.2">
      <c r="J29" s="237" t="s">
        <v>450</v>
      </c>
      <c r="K29" s="246">
        <f>Valuation!J37</f>
        <v>1028.5767503050904</v>
      </c>
      <c r="L29" s="246"/>
      <c r="N29" s="247" t="s">
        <v>451</v>
      </c>
      <c r="O29" s="247"/>
    </row>
    <row r="30" spans="2:16" ht="22" customHeight="1" x14ac:dyDescent="0.2">
      <c r="J30" s="237" t="s">
        <v>429</v>
      </c>
      <c r="K30" s="241">
        <f ca="1">CCA!G62</f>
        <v>2466.8950619702077</v>
      </c>
      <c r="L30" s="241"/>
      <c r="N30" s="247" t="s">
        <v>452</v>
      </c>
      <c r="O30" s="247"/>
    </row>
    <row r="31" spans="2:16" ht="22" customHeight="1" x14ac:dyDescent="0.2">
      <c r="J31" s="237" t="s">
        <v>430</v>
      </c>
      <c r="K31" s="241">
        <f ca="1">CCA!G63</f>
        <v>685.48681323172161</v>
      </c>
      <c r="L31" s="241"/>
      <c r="N31" s="247" t="s">
        <v>452</v>
      </c>
      <c r="O31" s="247"/>
    </row>
    <row r="32" spans="2:16" ht="22" customHeight="1" x14ac:dyDescent="0.2">
      <c r="J32" s="237" t="s">
        <v>431</v>
      </c>
      <c r="K32" s="241">
        <f ca="1">CCA!G64</f>
        <v>589.84842676163544</v>
      </c>
      <c r="L32" s="241"/>
      <c r="N32" s="247" t="s">
        <v>452</v>
      </c>
      <c r="O32" s="247"/>
    </row>
    <row r="33" spans="2:16" ht="22" customHeight="1" x14ac:dyDescent="0.2">
      <c r="J33" s="237" t="s">
        <v>432</v>
      </c>
      <c r="K33" s="241">
        <f ca="1">CCA!G65</f>
        <v>581.65016809717702</v>
      </c>
      <c r="L33" s="241"/>
      <c r="N33" s="248" t="s">
        <v>452</v>
      </c>
      <c r="O33" s="248"/>
    </row>
    <row r="34" spans="2:16" ht="22" customHeight="1" x14ac:dyDescent="0.2"/>
    <row r="35" spans="2:16" ht="22" x14ac:dyDescent="0.2">
      <c r="J35" s="240" t="s">
        <v>531</v>
      </c>
      <c r="K35" s="240"/>
      <c r="L35" s="240"/>
      <c r="M35" s="240"/>
      <c r="N35" s="240"/>
      <c r="O35" s="240"/>
      <c r="P35" s="236"/>
    </row>
    <row r="36" spans="2:16" ht="22" customHeight="1" x14ac:dyDescent="0.2"/>
    <row r="37" spans="2:16" ht="22" customHeight="1" x14ac:dyDescent="0.2"/>
    <row r="38" spans="2:16" ht="22" customHeight="1" x14ac:dyDescent="0.2">
      <c r="B38" s="240" t="s">
        <v>538</v>
      </c>
      <c r="C38" s="242"/>
      <c r="D38" s="242"/>
      <c r="E38" s="242"/>
      <c r="F38" s="242"/>
      <c r="G38" s="242"/>
      <c r="H38" s="242"/>
    </row>
    <row r="39" spans="2:16" ht="22" customHeight="1" x14ac:dyDescent="0.2"/>
    <row r="40" spans="2:16" ht="22" customHeight="1" x14ac:dyDescent="0.2"/>
    <row r="41" spans="2:16" ht="22" customHeight="1" x14ac:dyDescent="0.2"/>
    <row r="42" spans="2:16" ht="22" customHeight="1" x14ac:dyDescent="0.2"/>
    <row r="43" spans="2:16" ht="22" customHeight="1" x14ac:dyDescent="0.2"/>
    <row r="44" spans="2:16" ht="22" customHeight="1" x14ac:dyDescent="0.2"/>
    <row r="45" spans="2:16" ht="22" customHeight="1" x14ac:dyDescent="0.2"/>
    <row r="46" spans="2:16" ht="22" customHeight="1" x14ac:dyDescent="0.2"/>
    <row r="47" spans="2:16" ht="22" customHeight="1" x14ac:dyDescent="0.2"/>
    <row r="48" spans="2:16" ht="22" customHeight="1" x14ac:dyDescent="0.2">
      <c r="B48" s="240" t="s">
        <v>539</v>
      </c>
      <c r="C48" s="242"/>
      <c r="D48" s="242"/>
      <c r="E48" s="242"/>
      <c r="F48" s="242"/>
      <c r="G48" s="242"/>
      <c r="H48" s="242"/>
      <c r="I48" s="240" t="s">
        <v>541</v>
      </c>
      <c r="J48" s="242"/>
      <c r="K48" s="242"/>
      <c r="L48" s="242"/>
      <c r="M48" s="242"/>
      <c r="N48" s="242"/>
      <c r="O48" s="242"/>
    </row>
    <row r="49" spans="2:16" ht="16" customHeight="1" x14ac:dyDescent="0.2">
      <c r="B49" s="290" t="s">
        <v>540</v>
      </c>
      <c r="C49" s="290"/>
      <c r="D49" s="290"/>
      <c r="E49" s="290"/>
      <c r="F49" s="290"/>
      <c r="G49" s="290"/>
      <c r="H49" s="292" t="s">
        <v>542</v>
      </c>
      <c r="I49" s="292"/>
      <c r="J49" s="292"/>
      <c r="K49" s="292"/>
      <c r="L49" s="292"/>
      <c r="M49" s="292"/>
      <c r="N49" s="292"/>
      <c r="O49" s="292"/>
    </row>
    <row r="50" spans="2:16" ht="22" customHeight="1" x14ac:dyDescent="0.2">
      <c r="B50" s="290"/>
      <c r="C50" s="290"/>
      <c r="D50" s="290"/>
      <c r="E50" s="290"/>
      <c r="F50" s="290"/>
      <c r="G50" s="290"/>
      <c r="H50" s="292"/>
      <c r="I50" s="292"/>
      <c r="J50" s="292"/>
      <c r="K50" s="292"/>
      <c r="L50" s="292"/>
      <c r="M50" s="292"/>
      <c r="N50" s="292"/>
      <c r="O50" s="292"/>
    </row>
    <row r="51" spans="2:16" ht="22" customHeight="1" x14ac:dyDescent="0.2">
      <c r="B51" s="290"/>
      <c r="C51" s="290"/>
      <c r="D51" s="290"/>
      <c r="E51" s="290"/>
      <c r="F51" s="290"/>
      <c r="G51" s="290"/>
      <c r="H51" s="292"/>
      <c r="I51" s="292"/>
      <c r="J51" s="292"/>
      <c r="K51" s="292"/>
      <c r="L51" s="292"/>
      <c r="M51" s="292"/>
      <c r="N51" s="292"/>
      <c r="O51" s="292"/>
    </row>
    <row r="52" spans="2:16" ht="22" hidden="1" customHeight="1" x14ac:dyDescent="0.2">
      <c r="B52" s="290"/>
      <c r="C52" s="290"/>
      <c r="D52" s="290"/>
      <c r="E52" s="290"/>
      <c r="F52" s="290"/>
      <c r="G52" s="290"/>
      <c r="H52" s="292"/>
      <c r="I52" s="292"/>
      <c r="J52" s="292"/>
      <c r="K52" s="292"/>
      <c r="L52" s="292"/>
      <c r="M52" s="292"/>
      <c r="N52" s="292"/>
      <c r="O52" s="292"/>
      <c r="P52" t="str">
        <f>[1]FS!R4</f>
        <v>FY2035</v>
      </c>
    </row>
    <row r="53" spans="2:16" ht="22" hidden="1" customHeight="1" x14ac:dyDescent="0.2">
      <c r="B53" s="290"/>
      <c r="C53" s="290"/>
      <c r="D53" s="290"/>
      <c r="E53" s="290"/>
      <c r="F53" s="290"/>
      <c r="G53" s="290"/>
      <c r="H53" s="292"/>
      <c r="I53" s="292"/>
      <c r="J53" s="292"/>
      <c r="K53" s="292"/>
      <c r="L53" s="292"/>
      <c r="M53" s="292"/>
      <c r="N53" s="292"/>
      <c r="O53" s="292"/>
      <c r="P53">
        <f>[1]FS!R8</f>
        <v>0</v>
      </c>
    </row>
    <row r="54" spans="2:16" ht="22" hidden="1" customHeight="1" x14ac:dyDescent="0.2">
      <c r="B54" s="290"/>
      <c r="C54" s="290"/>
      <c r="D54" s="290"/>
      <c r="E54" s="290"/>
      <c r="F54" s="290"/>
      <c r="G54" s="290"/>
      <c r="H54" s="292"/>
      <c r="I54" s="292"/>
      <c r="J54" s="292"/>
      <c r="K54" s="292"/>
      <c r="L54" s="292"/>
      <c r="M54" s="292"/>
      <c r="N54" s="292"/>
      <c r="O54" s="292"/>
      <c r="P54">
        <f>[1]FS!R26</f>
        <v>0</v>
      </c>
    </row>
    <row r="55" spans="2:16" ht="22" hidden="1" customHeight="1" x14ac:dyDescent="0.2">
      <c r="B55" s="290"/>
      <c r="C55" s="290"/>
      <c r="D55" s="290"/>
      <c r="E55" s="290"/>
      <c r="F55" s="290"/>
      <c r="G55" s="290"/>
      <c r="H55" s="292"/>
      <c r="I55" s="292"/>
      <c r="J55" s="292"/>
      <c r="K55" s="292"/>
      <c r="L55" s="292"/>
      <c r="M55" s="292"/>
      <c r="N55" s="292"/>
      <c r="O55" s="292"/>
      <c r="P55">
        <f>[1]FS!R18</f>
        <v>0</v>
      </c>
    </row>
    <row r="56" spans="2:16" ht="22" hidden="1" customHeight="1" x14ac:dyDescent="0.2">
      <c r="B56" s="290"/>
      <c r="C56" s="290"/>
      <c r="D56" s="290"/>
      <c r="E56" s="290"/>
      <c r="F56" s="290"/>
      <c r="G56" s="290"/>
      <c r="H56" s="292"/>
      <c r="I56" s="292"/>
      <c r="J56" s="292"/>
      <c r="K56" s="292"/>
      <c r="L56" s="292"/>
      <c r="M56" s="292"/>
      <c r="N56" s="292"/>
      <c r="O56" s="292"/>
      <c r="P56">
        <f t="shared" ref="P56" si="0">P54+P55</f>
        <v>0</v>
      </c>
    </row>
    <row r="57" spans="2:16" ht="22" customHeight="1" x14ac:dyDescent="0.2">
      <c r="B57" s="290"/>
      <c r="C57" s="290"/>
      <c r="D57" s="290"/>
      <c r="E57" s="290"/>
      <c r="F57" s="290"/>
      <c r="G57" s="290"/>
      <c r="H57" s="292"/>
      <c r="I57" s="292"/>
      <c r="J57" s="292"/>
      <c r="K57" s="292"/>
      <c r="L57" s="292"/>
      <c r="M57" s="292"/>
      <c r="N57" s="292"/>
      <c r="O57" s="292"/>
    </row>
    <row r="58" spans="2:16" ht="21" hidden="1" customHeight="1" x14ac:dyDescent="0.2">
      <c r="B58" s="291"/>
      <c r="C58" s="291"/>
      <c r="D58" s="291"/>
      <c r="E58" s="291"/>
      <c r="F58" s="291"/>
      <c r="G58" s="291"/>
      <c r="H58" s="291"/>
    </row>
    <row r="59" spans="2:16" ht="21" hidden="1" customHeight="1" x14ac:dyDescent="0.2">
      <c r="B59" s="291"/>
      <c r="C59" s="291"/>
      <c r="D59" s="291"/>
      <c r="E59" s="291"/>
      <c r="F59" s="291"/>
      <c r="G59" s="291"/>
      <c r="H59" s="291"/>
    </row>
    <row r="60" spans="2:16" ht="21" customHeight="1" x14ac:dyDescent="0.2">
      <c r="B60" s="291"/>
      <c r="C60" s="291"/>
      <c r="D60" s="291"/>
      <c r="E60" s="291"/>
      <c r="F60" s="291"/>
      <c r="G60" s="291"/>
      <c r="H60" s="291"/>
    </row>
    <row r="61" spans="2:16" ht="21" customHeight="1" x14ac:dyDescent="0.2">
      <c r="B61" s="240" t="s">
        <v>543</v>
      </c>
      <c r="C61" s="240"/>
      <c r="D61" s="240"/>
      <c r="E61" s="240"/>
      <c r="F61" s="240"/>
      <c r="G61" s="240"/>
      <c r="H61" s="240"/>
      <c r="I61" s="240"/>
      <c r="J61" s="240"/>
      <c r="K61" s="240"/>
      <c r="L61" s="240"/>
      <c r="M61" s="240"/>
      <c r="N61" s="240"/>
      <c r="O61" s="240"/>
    </row>
    <row r="62" spans="2:16" ht="21" customHeight="1" x14ac:dyDescent="0.2">
      <c r="B62" t="s">
        <v>544</v>
      </c>
    </row>
    <row r="63" spans="2:16" ht="21" customHeight="1" x14ac:dyDescent="0.2">
      <c r="B63" t="s">
        <v>545</v>
      </c>
    </row>
    <row r="64" spans="2:16" ht="21" customHeight="1" x14ac:dyDescent="0.2">
      <c r="B64" t="s">
        <v>546</v>
      </c>
    </row>
    <row r="65" spans="2:2" ht="21" customHeight="1" x14ac:dyDescent="0.2">
      <c r="B65" t="s">
        <v>547</v>
      </c>
    </row>
    <row r="66" spans="2:2" ht="21" customHeight="1" x14ac:dyDescent="0.2">
      <c r="B66" t="s">
        <v>548</v>
      </c>
    </row>
    <row r="67" spans="2:2" ht="21" customHeight="1" x14ac:dyDescent="0.2">
      <c r="B67" t="s">
        <v>549</v>
      </c>
    </row>
    <row r="68" spans="2:2" ht="21" customHeight="1" x14ac:dyDescent="0.2">
      <c r="B68" t="s">
        <v>550</v>
      </c>
    </row>
    <row r="69" spans="2:2" ht="21" customHeight="1" x14ac:dyDescent="0.2">
      <c r="B69" t="s">
        <v>551</v>
      </c>
    </row>
    <row r="70" spans="2:2" ht="21" customHeight="1" x14ac:dyDescent="0.2">
      <c r="B70" t="s">
        <v>552</v>
      </c>
    </row>
    <row r="71" spans="2:2" ht="21" customHeight="1" x14ac:dyDescent="0.2">
      <c r="B71" t="s">
        <v>553</v>
      </c>
    </row>
    <row r="72" spans="2:2" ht="21" customHeight="1" x14ac:dyDescent="0.2">
      <c r="B72" t="s">
        <v>554</v>
      </c>
    </row>
    <row r="73" spans="2:2" ht="21" customHeight="1" x14ac:dyDescent="0.2">
      <c r="B73" t="s">
        <v>555</v>
      </c>
    </row>
    <row r="74" spans="2:2" ht="21" customHeight="1" x14ac:dyDescent="0.2">
      <c r="B74" t="s">
        <v>558</v>
      </c>
    </row>
    <row r="75" spans="2:2" ht="21" customHeight="1" x14ac:dyDescent="0.2">
      <c r="B75" t="s">
        <v>556</v>
      </c>
    </row>
    <row r="76" spans="2:2" ht="21" customHeight="1" x14ac:dyDescent="0.2">
      <c r="B76" t="s">
        <v>557</v>
      </c>
    </row>
    <row r="77" spans="2:2" ht="21" customHeight="1" x14ac:dyDescent="0.2"/>
    <row r="78" spans="2:2" ht="21" customHeight="1" x14ac:dyDescent="0.2"/>
    <row r="79" spans="2:2" ht="21" customHeight="1" x14ac:dyDescent="0.2"/>
    <row r="80" spans="2:2" ht="21" customHeight="1" x14ac:dyDescent="0.2"/>
    <row r="81" ht="21" customHeight="1" x14ac:dyDescent="0.2"/>
    <row r="82" ht="21" customHeight="1" x14ac:dyDescent="0.2"/>
    <row r="83" ht="21" customHeight="1" x14ac:dyDescent="0.2"/>
    <row r="84" ht="21" customHeight="1" x14ac:dyDescent="0.2"/>
    <row r="85" ht="21" customHeight="1" x14ac:dyDescent="0.2"/>
    <row r="86" ht="21" customHeight="1" x14ac:dyDescent="0.2"/>
    <row r="87" ht="21" customHeight="1" x14ac:dyDescent="0.2"/>
    <row r="88" ht="21" customHeight="1" x14ac:dyDescent="0.2"/>
    <row r="89" ht="21" customHeight="1" x14ac:dyDescent="0.2"/>
    <row r="90" ht="21" customHeight="1" x14ac:dyDescent="0.2"/>
    <row r="91" ht="21" customHeight="1" x14ac:dyDescent="0.2"/>
    <row r="92" ht="21" customHeight="1" x14ac:dyDescent="0.2"/>
    <row r="93" ht="21" customHeight="1" x14ac:dyDescent="0.2"/>
    <row r="94" ht="21" customHeight="1" x14ac:dyDescent="0.2"/>
    <row r="95" ht="21" customHeight="1" x14ac:dyDescent="0.2"/>
    <row r="96" ht="21" customHeight="1" x14ac:dyDescent="0.2"/>
    <row r="97" spans="2:15" ht="21" customHeight="1" x14ac:dyDescent="0.2"/>
    <row r="98" spans="2:15" ht="21" customHeight="1" x14ac:dyDescent="0.2"/>
    <row r="99" spans="2:15" ht="21" customHeight="1" x14ac:dyDescent="0.2"/>
    <row r="100" spans="2:15" ht="21" customHeight="1" x14ac:dyDescent="0.2"/>
    <row r="101" spans="2:15" ht="21" customHeight="1" x14ac:dyDescent="0.2"/>
    <row r="102" spans="2:15" ht="21" customHeight="1" x14ac:dyDescent="0.2"/>
    <row r="103" spans="2:15" ht="21" customHeight="1" x14ac:dyDescent="0.2"/>
    <row r="104" spans="2:15" ht="21" customHeight="1" x14ac:dyDescent="0.2"/>
    <row r="105" spans="2:15" ht="21" customHeight="1" x14ac:dyDescent="0.2"/>
    <row r="106" spans="2:15" ht="21" customHeight="1" x14ac:dyDescent="0.2"/>
    <row r="107" spans="2:15" ht="21" customHeight="1" x14ac:dyDescent="0.2"/>
    <row r="108" spans="2:15" ht="21" customHeight="1" x14ac:dyDescent="0.2">
      <c r="B108" s="249" t="s">
        <v>532</v>
      </c>
      <c r="C108" s="244"/>
      <c r="D108" s="244"/>
      <c r="E108" s="244"/>
      <c r="F108" s="244"/>
      <c r="G108" s="244"/>
      <c r="H108" s="244"/>
      <c r="I108" s="244"/>
      <c r="J108" s="244"/>
      <c r="K108" s="244"/>
      <c r="L108" s="244"/>
      <c r="M108" s="244"/>
      <c r="N108" s="244"/>
      <c r="O108" s="244"/>
    </row>
    <row r="109" spans="2:15" ht="21" customHeight="1" x14ac:dyDescent="0.2">
      <c r="B109" s="244"/>
      <c r="C109" s="244"/>
      <c r="D109" s="244"/>
      <c r="E109" s="244"/>
      <c r="F109" s="244"/>
      <c r="G109" s="244"/>
      <c r="H109" s="244"/>
      <c r="I109" s="244"/>
      <c r="J109" s="244"/>
      <c r="K109" s="244"/>
      <c r="L109" s="244"/>
      <c r="M109" s="244"/>
      <c r="N109" s="244"/>
      <c r="O109" s="244"/>
    </row>
  </sheetData>
  <mergeCells count="45">
    <mergeCell ref="B2:O3"/>
    <mergeCell ref="B4:O4"/>
    <mergeCell ref="B6:D6"/>
    <mergeCell ref="F6:H6"/>
    <mergeCell ref="J6:L6"/>
    <mergeCell ref="N6:O6"/>
    <mergeCell ref="B7:D8"/>
    <mergeCell ref="F7:H8"/>
    <mergeCell ref="J7:L8"/>
    <mergeCell ref="N7:O8"/>
    <mergeCell ref="B10:D10"/>
    <mergeCell ref="F10:H10"/>
    <mergeCell ref="B108:O109"/>
    <mergeCell ref="J10:L10"/>
    <mergeCell ref="N10:O10"/>
    <mergeCell ref="B27:H27"/>
    <mergeCell ref="J27:O27"/>
    <mergeCell ref="B48:H48"/>
    <mergeCell ref="G13:H13"/>
    <mergeCell ref="K13:L13"/>
    <mergeCell ref="K14:L14"/>
    <mergeCell ref="B16:H16"/>
    <mergeCell ref="J16:O16"/>
    <mergeCell ref="G11:H11"/>
    <mergeCell ref="K11:L11"/>
    <mergeCell ref="G12:H12"/>
    <mergeCell ref="K12:L12"/>
    <mergeCell ref="K32:L32"/>
    <mergeCell ref="N29:O29"/>
    <mergeCell ref="N30:O30"/>
    <mergeCell ref="N31:O31"/>
    <mergeCell ref="N32:O32"/>
    <mergeCell ref="N28:O28"/>
    <mergeCell ref="K28:L28"/>
    <mergeCell ref="K29:L29"/>
    <mergeCell ref="K30:L30"/>
    <mergeCell ref="K31:L31"/>
    <mergeCell ref="B61:O61"/>
    <mergeCell ref="K33:L33"/>
    <mergeCell ref="B38:H38"/>
    <mergeCell ref="J35:O35"/>
    <mergeCell ref="I48:O48"/>
    <mergeCell ref="N33:O33"/>
    <mergeCell ref="B49:G57"/>
    <mergeCell ref="H49:O57"/>
  </mergeCells>
  <hyperlinks>
    <hyperlink ref="C11" location="'Working '!A1" display="Working" xr:uid="{37A1741C-2941-F340-91D2-6189196614EB}"/>
    <hyperlink ref="D11" location="'FS'!A1" display="Financial Statements" xr:uid="{3621A6B9-9547-424D-84F7-E4CA8EAFDC17}"/>
    <hyperlink ref="B12" location="'Income Statement'!A1" display="Income Statement" xr:uid="{765D6FBC-228B-C246-B9B8-FA51108FEE55}"/>
    <hyperlink ref="C12" location="'Balance Sheet'!A1" display="Balance Sheet" xr:uid="{041DB660-F466-4743-8608-396226418EAD}"/>
    <hyperlink ref="D12" location="'Cash flow'!A1" display="Cash Flow" xr:uid="{781CE45A-B239-594B-B0A4-C1857E9C9711}"/>
    <hyperlink ref="B13" location="'Valuation'!A1" display="Valuation" xr:uid="{DD608496-AC3C-E647-9925-5EC3CB3FB263}"/>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CCF01-F439-5640-97C2-DB4991DE88AC}">
  <dimension ref="A1:AL346"/>
  <sheetViews>
    <sheetView showGridLines="0" topLeftCell="A317" zoomScale="63" workbookViewId="0">
      <selection activeCell="R378" sqref="R378"/>
    </sheetView>
  </sheetViews>
  <sheetFormatPr baseColWidth="10" defaultColWidth="8.83203125" defaultRowHeight="16" x14ac:dyDescent="0.2"/>
  <cols>
    <col min="1" max="1" width="56.5" style="19" bestFit="1" customWidth="1"/>
    <col min="2" max="2" width="12.33203125" style="56" bestFit="1" customWidth="1"/>
    <col min="3" max="3" width="11.5" style="19" bestFit="1" customWidth="1"/>
    <col min="4" max="5" width="12.5" style="19" bestFit="1" customWidth="1"/>
    <col min="6" max="8" width="11.5" style="19" bestFit="1" customWidth="1"/>
    <col min="9" max="16" width="13.5" style="19" bestFit="1" customWidth="1"/>
    <col min="17" max="18" width="13.1640625" style="19" bestFit="1" customWidth="1"/>
    <col min="19" max="19" width="11.83203125" style="19" bestFit="1" customWidth="1"/>
    <col min="20" max="20" width="13.1640625" style="19" bestFit="1" customWidth="1"/>
    <col min="21" max="22" width="11.83203125" style="19" bestFit="1" customWidth="1"/>
    <col min="23" max="25" width="8.83203125" style="19"/>
    <col min="26" max="26" width="8.1640625" style="19" bestFit="1" customWidth="1"/>
    <col min="27" max="31" width="9.83203125" style="19" bestFit="1" customWidth="1"/>
    <col min="32" max="16384" width="8.83203125" style="19"/>
  </cols>
  <sheetData>
    <row r="1" spans="1:22" s="57" customFormat="1" ht="32" customHeight="1" x14ac:dyDescent="0.2">
      <c r="A1" s="258" t="s">
        <v>105</v>
      </c>
      <c r="B1" s="258"/>
      <c r="C1" s="58"/>
      <c r="D1" s="58"/>
      <c r="E1" s="58"/>
      <c r="F1" s="58"/>
      <c r="G1" s="58"/>
      <c r="H1" s="58"/>
      <c r="I1" s="58"/>
      <c r="J1" s="58"/>
      <c r="K1" s="58"/>
      <c r="L1" s="58"/>
      <c r="M1" s="58"/>
      <c r="N1" s="58"/>
      <c r="O1" s="58"/>
      <c r="P1" s="58"/>
      <c r="Q1" s="58"/>
      <c r="R1" s="58"/>
      <c r="S1" s="58"/>
      <c r="T1" s="58"/>
      <c r="U1" s="58"/>
      <c r="V1" s="58"/>
    </row>
    <row r="2" spans="1:22" s="57" customFormat="1" ht="24" customHeight="1" x14ac:dyDescent="0.2">
      <c r="A2" s="259" t="s">
        <v>322</v>
      </c>
      <c r="B2" s="259"/>
      <c r="C2" s="58"/>
      <c r="D2" s="58"/>
      <c r="E2" s="58"/>
      <c r="F2" s="58"/>
      <c r="G2" s="58"/>
      <c r="H2" s="58"/>
      <c r="I2" s="58"/>
      <c r="J2" s="58"/>
      <c r="K2" s="58"/>
      <c r="L2" s="58"/>
      <c r="M2" s="58"/>
      <c r="N2" s="58"/>
      <c r="O2" s="58"/>
      <c r="P2" s="58"/>
      <c r="Q2" s="58"/>
      <c r="R2" s="58"/>
      <c r="S2" s="58"/>
      <c r="T2" s="58"/>
      <c r="U2" s="58"/>
      <c r="V2" s="58"/>
    </row>
    <row r="3" spans="1:22" s="57" customFormat="1" ht="17" customHeight="1" x14ac:dyDescent="0.2">
      <c r="A3" s="59"/>
      <c r="B3" s="60"/>
      <c r="C3" s="67" t="s">
        <v>106</v>
      </c>
      <c r="D3" s="58"/>
      <c r="E3" s="58"/>
      <c r="F3" s="58"/>
      <c r="G3" s="58"/>
      <c r="H3" s="65">
        <v>43922</v>
      </c>
      <c r="I3" s="65">
        <v>44287</v>
      </c>
      <c r="J3" s="65">
        <v>44652</v>
      </c>
      <c r="K3" s="65">
        <v>45017</v>
      </c>
      <c r="L3" s="65">
        <v>45383</v>
      </c>
      <c r="M3" s="65">
        <v>45748</v>
      </c>
      <c r="N3" s="65">
        <v>46113</v>
      </c>
      <c r="O3" s="65">
        <v>46478</v>
      </c>
      <c r="P3" s="65">
        <v>46844</v>
      </c>
      <c r="Q3" s="65">
        <v>47209</v>
      </c>
      <c r="R3" s="65">
        <v>47574</v>
      </c>
      <c r="S3" s="65">
        <v>47939</v>
      </c>
      <c r="T3" s="65">
        <v>48305</v>
      </c>
      <c r="U3" s="65">
        <v>48670</v>
      </c>
      <c r="V3" s="65">
        <v>49035</v>
      </c>
    </row>
    <row r="4" spans="1:22" s="57" customFormat="1" ht="17" customHeight="1" x14ac:dyDescent="0.2">
      <c r="A4" s="59"/>
      <c r="B4" s="60"/>
      <c r="C4" s="67" t="s">
        <v>107</v>
      </c>
      <c r="D4" s="58"/>
      <c r="E4" s="58"/>
      <c r="F4" s="58"/>
      <c r="G4" s="58"/>
      <c r="H4" s="65">
        <v>44286</v>
      </c>
      <c r="I4" s="65">
        <v>44651</v>
      </c>
      <c r="J4" s="65">
        <v>45016</v>
      </c>
      <c r="K4" s="65">
        <v>45382</v>
      </c>
      <c r="L4" s="65">
        <v>45747</v>
      </c>
      <c r="M4" s="65">
        <v>46112</v>
      </c>
      <c r="N4" s="65">
        <v>46477</v>
      </c>
      <c r="O4" s="65">
        <v>46843</v>
      </c>
      <c r="P4" s="65">
        <v>47208</v>
      </c>
      <c r="Q4" s="65">
        <v>47573</v>
      </c>
      <c r="R4" s="65">
        <v>47938</v>
      </c>
      <c r="S4" s="65">
        <v>48304</v>
      </c>
      <c r="T4" s="65">
        <v>48669</v>
      </c>
      <c r="U4" s="65">
        <v>49034</v>
      </c>
      <c r="V4" s="65">
        <v>49399</v>
      </c>
    </row>
    <row r="5" spans="1:22" s="57" customFormat="1" ht="17" customHeight="1" x14ac:dyDescent="0.2">
      <c r="A5" s="59"/>
      <c r="B5" s="60"/>
      <c r="C5" s="67" t="s">
        <v>108</v>
      </c>
      <c r="D5" s="58"/>
      <c r="E5" s="58"/>
      <c r="F5" s="58"/>
      <c r="G5" s="58"/>
      <c r="H5" s="66" t="s">
        <v>109</v>
      </c>
      <c r="I5" s="66" t="s">
        <v>109</v>
      </c>
      <c r="J5" s="66" t="s">
        <v>109</v>
      </c>
      <c r="K5" s="66" t="s">
        <v>109</v>
      </c>
      <c r="L5" s="66" t="s">
        <v>109</v>
      </c>
      <c r="M5" s="66" t="s">
        <v>103</v>
      </c>
      <c r="N5" s="66" t="s">
        <v>103</v>
      </c>
      <c r="O5" s="66" t="s">
        <v>103</v>
      </c>
      <c r="P5" s="66" t="s">
        <v>103</v>
      </c>
      <c r="Q5" s="66" t="s">
        <v>103</v>
      </c>
      <c r="R5" s="66" t="s">
        <v>103</v>
      </c>
      <c r="S5" s="66" t="s">
        <v>103</v>
      </c>
      <c r="T5" s="66" t="s">
        <v>103</v>
      </c>
      <c r="U5" s="66" t="s">
        <v>103</v>
      </c>
      <c r="V5" s="66" t="s">
        <v>103</v>
      </c>
    </row>
    <row r="6" spans="1:22" s="57" customFormat="1" ht="17" customHeight="1" x14ac:dyDescent="0.2">
      <c r="A6" s="59"/>
      <c r="B6" s="60"/>
      <c r="C6" s="67" t="s">
        <v>138</v>
      </c>
      <c r="D6" s="58"/>
      <c r="E6" s="58"/>
      <c r="F6" s="58"/>
      <c r="G6" s="58"/>
      <c r="H6" s="66">
        <f>H4-H3+1</f>
        <v>365</v>
      </c>
      <c r="I6" s="66">
        <f t="shared" ref="I6:V6" si="0">I4-I3+1</f>
        <v>365</v>
      </c>
      <c r="J6" s="66">
        <f t="shared" si="0"/>
        <v>365</v>
      </c>
      <c r="K6" s="66">
        <f t="shared" si="0"/>
        <v>366</v>
      </c>
      <c r="L6" s="66">
        <f t="shared" si="0"/>
        <v>365</v>
      </c>
      <c r="M6" s="66">
        <f t="shared" si="0"/>
        <v>365</v>
      </c>
      <c r="N6" s="66">
        <f t="shared" si="0"/>
        <v>365</v>
      </c>
      <c r="O6" s="66">
        <f t="shared" si="0"/>
        <v>366</v>
      </c>
      <c r="P6" s="66">
        <f t="shared" si="0"/>
        <v>365</v>
      </c>
      <c r="Q6" s="66">
        <f t="shared" si="0"/>
        <v>365</v>
      </c>
      <c r="R6" s="66">
        <f t="shared" si="0"/>
        <v>365</v>
      </c>
      <c r="S6" s="66">
        <f t="shared" si="0"/>
        <v>366</v>
      </c>
      <c r="T6" s="66">
        <f t="shared" si="0"/>
        <v>365</v>
      </c>
      <c r="U6" s="66">
        <f t="shared" si="0"/>
        <v>365</v>
      </c>
      <c r="V6" s="66">
        <f t="shared" si="0"/>
        <v>365</v>
      </c>
    </row>
    <row r="7" spans="1:22" s="38" customFormat="1" ht="20" customHeight="1" x14ac:dyDescent="0.2">
      <c r="A7" s="69" t="s">
        <v>110</v>
      </c>
      <c r="B7" s="36"/>
      <c r="C7" s="37"/>
      <c r="D7" s="37"/>
      <c r="E7" s="37"/>
      <c r="F7" s="37"/>
      <c r="G7" s="37"/>
      <c r="H7" s="37"/>
      <c r="I7" s="37"/>
      <c r="J7" s="37"/>
      <c r="K7" s="37"/>
      <c r="L7" s="37"/>
      <c r="M7" s="37"/>
      <c r="N7" s="37"/>
      <c r="O7" s="37"/>
      <c r="P7" s="37"/>
      <c r="Q7" s="37"/>
      <c r="R7" s="37"/>
      <c r="S7" s="37"/>
      <c r="T7" s="37"/>
      <c r="U7" s="37"/>
      <c r="V7" s="37"/>
    </row>
    <row r="8" spans="1:22" ht="8" customHeight="1" x14ac:dyDescent="0.2">
      <c r="A8" s="20"/>
      <c r="B8" s="53"/>
      <c r="C8" s="21"/>
      <c r="D8" s="21"/>
      <c r="E8" s="21"/>
      <c r="F8" s="21"/>
      <c r="G8" s="21"/>
      <c r="H8" s="21"/>
      <c r="I8" s="21"/>
      <c r="J8" s="21"/>
      <c r="K8" s="21"/>
      <c r="L8" s="21"/>
      <c r="M8" s="21"/>
      <c r="N8" s="21"/>
      <c r="O8" s="21"/>
      <c r="P8" s="21"/>
      <c r="Q8" s="21"/>
      <c r="R8" s="21"/>
      <c r="S8" s="21"/>
      <c r="T8" s="21"/>
      <c r="U8" s="21"/>
      <c r="V8" s="21"/>
    </row>
    <row r="9" spans="1:22" ht="17" customHeight="1" x14ac:dyDescent="0.2">
      <c r="A9" s="22" t="s">
        <v>111</v>
      </c>
      <c r="B9" s="54" t="s">
        <v>112</v>
      </c>
      <c r="C9" s="64">
        <v>43922</v>
      </c>
      <c r="D9" s="21"/>
      <c r="E9" s="21"/>
      <c r="F9" s="21"/>
      <c r="G9" s="21"/>
      <c r="H9" s="24"/>
      <c r="I9" s="24"/>
      <c r="J9" s="24"/>
      <c r="K9" s="24"/>
      <c r="L9" s="24"/>
      <c r="M9" s="24"/>
      <c r="N9" s="24"/>
      <c r="O9" s="24"/>
      <c r="P9" s="24"/>
      <c r="Q9" s="24"/>
      <c r="R9" s="24"/>
      <c r="S9" s="24"/>
      <c r="T9" s="24"/>
      <c r="U9" s="24"/>
      <c r="V9" s="24"/>
    </row>
    <row r="10" spans="1:22" ht="17" customHeight="1" x14ac:dyDescent="0.2">
      <c r="A10" s="22" t="s">
        <v>113</v>
      </c>
      <c r="B10" s="54" t="s">
        <v>114</v>
      </c>
      <c r="C10" s="23">
        <v>12</v>
      </c>
      <c r="D10" s="21"/>
      <c r="E10" s="21"/>
      <c r="F10" s="21"/>
      <c r="G10" s="21"/>
      <c r="H10" s="24"/>
      <c r="I10" s="24"/>
      <c r="J10" s="24"/>
      <c r="K10" s="24"/>
      <c r="L10" s="24"/>
      <c r="M10" s="24"/>
      <c r="N10" s="24"/>
      <c r="O10" s="24"/>
      <c r="P10" s="24"/>
      <c r="Q10" s="24"/>
      <c r="R10" s="24"/>
      <c r="S10" s="24"/>
      <c r="T10" s="24"/>
      <c r="U10" s="24"/>
      <c r="V10" s="24"/>
    </row>
    <row r="11" spans="1:22" ht="17" customHeight="1" x14ac:dyDescent="0.2">
      <c r="A11" s="22" t="s">
        <v>115</v>
      </c>
      <c r="B11" s="54" t="s">
        <v>112</v>
      </c>
      <c r="C11" s="64">
        <v>45748</v>
      </c>
      <c r="D11" s="21"/>
      <c r="E11" s="21"/>
      <c r="F11" s="21"/>
      <c r="G11" s="21"/>
      <c r="H11" s="24"/>
      <c r="I11" s="24"/>
      <c r="J11" s="24"/>
      <c r="K11" s="24"/>
      <c r="L11" s="24"/>
      <c r="M11" s="24"/>
      <c r="N11" s="24"/>
      <c r="O11" s="24"/>
      <c r="P11" s="24"/>
      <c r="Q11" s="24"/>
      <c r="R11" s="24"/>
      <c r="S11" s="24"/>
      <c r="T11" s="24"/>
      <c r="U11" s="24"/>
      <c r="V11" s="24"/>
    </row>
    <row r="12" spans="1:22" ht="17" customHeight="1" x14ac:dyDescent="0.2">
      <c r="A12" s="22" t="s">
        <v>116</v>
      </c>
      <c r="B12" s="54" t="s">
        <v>114</v>
      </c>
      <c r="C12" s="23">
        <v>10</v>
      </c>
      <c r="D12" s="21"/>
      <c r="E12" s="21"/>
      <c r="F12" s="21"/>
      <c r="G12" s="21"/>
      <c r="H12" s="24"/>
      <c r="I12" s="24"/>
      <c r="J12" s="24"/>
      <c r="K12" s="24"/>
      <c r="L12" s="24"/>
      <c r="M12" s="24"/>
      <c r="N12" s="24"/>
      <c r="O12" s="24"/>
      <c r="P12" s="24"/>
      <c r="Q12" s="24"/>
      <c r="R12" s="24"/>
      <c r="S12" s="24"/>
      <c r="T12" s="24"/>
      <c r="U12" s="24"/>
      <c r="V12" s="24"/>
    </row>
    <row r="13" spans="1:22" ht="8" customHeight="1" x14ac:dyDescent="0.2">
      <c r="A13" s="20"/>
      <c r="B13" s="53"/>
      <c r="C13" s="21"/>
      <c r="D13" s="21"/>
      <c r="E13" s="21"/>
      <c r="F13" s="21"/>
      <c r="G13" s="21"/>
      <c r="H13" s="21"/>
      <c r="I13" s="21"/>
      <c r="J13" s="21"/>
      <c r="K13" s="21"/>
      <c r="L13" s="21"/>
      <c r="M13" s="21"/>
      <c r="N13" s="21"/>
      <c r="O13" s="21"/>
      <c r="P13" s="21"/>
      <c r="Q13" s="21"/>
      <c r="R13" s="21"/>
      <c r="S13" s="21"/>
      <c r="T13" s="21"/>
      <c r="U13" s="21"/>
      <c r="V13" s="21"/>
    </row>
    <row r="14" spans="1:22" ht="8" customHeight="1" x14ac:dyDescent="0.2">
      <c r="A14" s="20"/>
      <c r="B14" s="53"/>
      <c r="C14" s="21"/>
      <c r="D14" s="21"/>
      <c r="E14" s="21"/>
      <c r="F14" s="21"/>
      <c r="G14" s="21"/>
      <c r="H14" s="21"/>
      <c r="I14" s="21"/>
      <c r="J14" s="21"/>
      <c r="K14" s="21"/>
      <c r="L14" s="21"/>
      <c r="M14" s="21"/>
      <c r="N14" s="21"/>
      <c r="O14" s="21"/>
      <c r="P14" s="21"/>
      <c r="Q14" s="21"/>
      <c r="R14" s="21"/>
      <c r="S14" s="21"/>
      <c r="T14" s="21"/>
      <c r="U14" s="21"/>
      <c r="V14" s="21"/>
    </row>
    <row r="15" spans="1:22" s="38" customFormat="1" ht="20" customHeight="1" x14ac:dyDescent="0.2">
      <c r="A15" s="69" t="s">
        <v>102</v>
      </c>
      <c r="B15" s="36"/>
      <c r="C15" s="37"/>
      <c r="D15" s="37"/>
      <c r="E15" s="37"/>
      <c r="F15" s="37"/>
      <c r="G15" s="37"/>
      <c r="H15" s="37"/>
      <c r="I15" s="37"/>
      <c r="J15" s="37"/>
      <c r="K15" s="37"/>
      <c r="L15" s="37"/>
      <c r="M15" s="37"/>
      <c r="N15" s="37"/>
      <c r="O15" s="37"/>
      <c r="P15" s="37"/>
      <c r="Q15" s="37"/>
      <c r="R15" s="37"/>
      <c r="S15" s="37"/>
      <c r="T15" s="37"/>
      <c r="U15" s="37"/>
      <c r="V15" s="37"/>
    </row>
    <row r="16" spans="1:22" ht="17" customHeight="1" x14ac:dyDescent="0.2">
      <c r="A16" s="25" t="s">
        <v>117</v>
      </c>
      <c r="B16" s="53"/>
      <c r="C16" s="21"/>
      <c r="D16" s="21"/>
      <c r="E16" s="21"/>
      <c r="F16" s="21"/>
      <c r="G16" s="21"/>
      <c r="M16" s="21"/>
      <c r="N16" s="21"/>
      <c r="O16" s="21"/>
      <c r="P16" s="21"/>
      <c r="Q16" s="21"/>
      <c r="R16" s="21"/>
      <c r="S16" s="21"/>
      <c r="T16" s="21"/>
      <c r="U16" s="21"/>
      <c r="V16" s="21"/>
    </row>
    <row r="17" spans="1:22" ht="17" customHeight="1" x14ac:dyDescent="0.2">
      <c r="A17" s="26" t="s">
        <v>49</v>
      </c>
      <c r="B17" s="55" t="s">
        <v>118</v>
      </c>
      <c r="C17" s="27"/>
      <c r="D17" s="27"/>
      <c r="E17" s="27"/>
      <c r="F17" s="27"/>
      <c r="G17" s="27"/>
      <c r="H17" s="52">
        <f>'Income Statement-Historic'!C12</f>
        <v>1018576</v>
      </c>
      <c r="I17" s="52">
        <f>'Income Statement-Historic'!D12</f>
        <v>1312392</v>
      </c>
      <c r="J17" s="52">
        <f>'Income Statement-Historic'!E12</f>
        <v>1665109</v>
      </c>
      <c r="K17" s="52">
        <f>'Income Statement-Historic'!F12</f>
        <v>1837953</v>
      </c>
      <c r="L17" s="52">
        <f>'Income Statement-Historic'!G12</f>
        <v>1940854</v>
      </c>
      <c r="M17" s="42">
        <f>L17*(1+M18)</f>
        <v>2076713.78</v>
      </c>
      <c r="N17" s="42">
        <f t="shared" ref="N17:V17" si="1">M17*(1+N18)</f>
        <v>2222083.7446000003</v>
      </c>
      <c r="O17" s="42">
        <f t="shared" si="1"/>
        <v>2366519.1879990003</v>
      </c>
      <c r="P17" s="42">
        <f t="shared" si="1"/>
        <v>2520342.9352189354</v>
      </c>
      <c r="Q17" s="42">
        <f t="shared" si="1"/>
        <v>2671563.5113320719</v>
      </c>
      <c r="R17" s="42">
        <f t="shared" si="1"/>
        <v>2831857.3220119965</v>
      </c>
      <c r="S17" s="42">
        <f t="shared" si="1"/>
        <v>2987609.474722656</v>
      </c>
      <c r="T17" s="42">
        <f t="shared" si="1"/>
        <v>3151927.9958324018</v>
      </c>
      <c r="U17" s="42">
        <f t="shared" si="1"/>
        <v>3309524.395624022</v>
      </c>
      <c r="V17" s="42">
        <f t="shared" si="1"/>
        <v>3475000.6154052233</v>
      </c>
    </row>
    <row r="18" spans="1:22" ht="17" customHeight="1" x14ac:dyDescent="0.2">
      <c r="A18" s="26" t="s">
        <v>119</v>
      </c>
      <c r="B18" s="55" t="s">
        <v>120</v>
      </c>
      <c r="C18" s="30"/>
      <c r="D18" s="30"/>
      <c r="E18" s="30"/>
      <c r="F18" s="30"/>
      <c r="G18" s="30"/>
      <c r="H18" s="31"/>
      <c r="I18" s="40">
        <f>I17/H17-1</f>
        <v>0.28845761141043957</v>
      </c>
      <c r="J18" s="40">
        <f t="shared" ref="J18:L18" si="2">J17/I17-1</f>
        <v>0.26875887692091993</v>
      </c>
      <c r="K18" s="40">
        <f t="shared" si="2"/>
        <v>0.10380341467135179</v>
      </c>
      <c r="L18" s="40">
        <f t="shared" si="2"/>
        <v>5.5986741771960391E-2</v>
      </c>
      <c r="M18" s="32">
        <v>7.0000000000000007E-2</v>
      </c>
      <c r="N18" s="32">
        <v>7.0000000000000007E-2</v>
      </c>
      <c r="O18" s="32">
        <v>6.5000000000000002E-2</v>
      </c>
      <c r="P18" s="32">
        <v>6.5000000000000002E-2</v>
      </c>
      <c r="Q18" s="32">
        <v>0.06</v>
      </c>
      <c r="R18" s="32">
        <v>0.06</v>
      </c>
      <c r="S18" s="32">
        <v>5.5E-2</v>
      </c>
      <c r="T18" s="32">
        <v>5.5E-2</v>
      </c>
      <c r="U18" s="32">
        <v>0.05</v>
      </c>
      <c r="V18" s="32">
        <v>0.05</v>
      </c>
    </row>
    <row r="19" spans="1:22" ht="17" customHeight="1" x14ac:dyDescent="0.2">
      <c r="A19" s="26" t="s">
        <v>51</v>
      </c>
      <c r="B19" s="55" t="s">
        <v>118</v>
      </c>
      <c r="C19" s="27"/>
      <c r="D19" s="27"/>
      <c r="E19" s="27"/>
      <c r="F19" s="27"/>
      <c r="G19" s="27"/>
      <c r="H19" s="51">
        <f>'Income Statement-Historic'!C13</f>
        <v>5025</v>
      </c>
      <c r="I19" s="41">
        <f>'Income Statement-Historic'!D13</f>
        <v>2979</v>
      </c>
      <c r="J19" s="41">
        <f>'Income Statement-Historic'!E13</f>
        <v>4943</v>
      </c>
      <c r="K19" s="41">
        <f>'Income Statement-Historic'!F13</f>
        <v>7374</v>
      </c>
      <c r="L19" s="41">
        <f>'Income Statement-Historic'!G13</f>
        <v>3590</v>
      </c>
      <c r="M19" s="43">
        <f>M17*M20</f>
        <v>6659.4424280250187</v>
      </c>
      <c r="N19" s="43">
        <f t="shared" ref="N19:V19" si="3">N17*N20</f>
        <v>7125.6033979867707</v>
      </c>
      <c r="O19" s="43">
        <f t="shared" si="3"/>
        <v>7588.7676188559108</v>
      </c>
      <c r="P19" s="43">
        <f t="shared" si="3"/>
        <v>8082.0375140815449</v>
      </c>
      <c r="Q19" s="43">
        <f t="shared" si="3"/>
        <v>8566.9597649264397</v>
      </c>
      <c r="R19" s="43">
        <f t="shared" si="3"/>
        <v>9080.977350822026</v>
      </c>
      <c r="S19" s="43">
        <f t="shared" si="3"/>
        <v>9580.4311051172372</v>
      </c>
      <c r="T19" s="43">
        <f t="shared" si="3"/>
        <v>10107.354815898685</v>
      </c>
      <c r="U19" s="43">
        <f t="shared" si="3"/>
        <v>10612.722556693619</v>
      </c>
      <c r="V19" s="43">
        <f t="shared" si="3"/>
        <v>11143.358684528301</v>
      </c>
    </row>
    <row r="20" spans="1:22" ht="17" customHeight="1" x14ac:dyDescent="0.2">
      <c r="A20" s="26" t="s">
        <v>104</v>
      </c>
      <c r="B20" s="55" t="s">
        <v>120</v>
      </c>
      <c r="C20" s="30"/>
      <c r="D20" s="30"/>
      <c r="E20" s="30"/>
      <c r="F20" s="30"/>
      <c r="G20" s="30"/>
      <c r="H20" s="31">
        <f>H19/H17</f>
        <v>4.9333579428535524E-3</v>
      </c>
      <c r="I20" s="31">
        <f t="shared" ref="I20:L20" si="4">I19/I17</f>
        <v>2.2699010661448712E-3</v>
      </c>
      <c r="J20" s="31">
        <f t="shared" si="4"/>
        <v>2.9685744296619621E-3</v>
      </c>
      <c r="K20" s="31">
        <f t="shared" si="4"/>
        <v>4.0120721258922291E-3</v>
      </c>
      <c r="L20" s="31">
        <f t="shared" si="4"/>
        <v>1.8497012140016715E-3</v>
      </c>
      <c r="M20" s="32">
        <f>AVERAGE(H20:L20)</f>
        <v>3.2067213557108571E-3</v>
      </c>
      <c r="N20" s="32">
        <f>$M$20</f>
        <v>3.2067213557108571E-3</v>
      </c>
      <c r="O20" s="32">
        <f t="shared" ref="O20:V20" si="5">$M$20</f>
        <v>3.2067213557108571E-3</v>
      </c>
      <c r="P20" s="32">
        <f t="shared" si="5"/>
        <v>3.2067213557108571E-3</v>
      </c>
      <c r="Q20" s="32">
        <f t="shared" si="5"/>
        <v>3.2067213557108571E-3</v>
      </c>
      <c r="R20" s="32">
        <f t="shared" si="5"/>
        <v>3.2067213557108571E-3</v>
      </c>
      <c r="S20" s="32">
        <f t="shared" si="5"/>
        <v>3.2067213557108571E-3</v>
      </c>
      <c r="T20" s="32">
        <f t="shared" si="5"/>
        <v>3.2067213557108571E-3</v>
      </c>
      <c r="U20" s="32">
        <f t="shared" si="5"/>
        <v>3.2067213557108571E-3</v>
      </c>
      <c r="V20" s="32">
        <f t="shared" si="5"/>
        <v>3.2067213557108571E-3</v>
      </c>
    </row>
    <row r="21" spans="1:22" ht="17" customHeight="1" x14ac:dyDescent="0.2">
      <c r="A21" s="48" t="s">
        <v>157</v>
      </c>
      <c r="B21" s="54"/>
      <c r="C21" s="45"/>
      <c r="D21" s="45"/>
      <c r="E21" s="45"/>
      <c r="F21" s="45"/>
      <c r="G21" s="45"/>
      <c r="H21" s="49">
        <f>SUM(H19,H17)</f>
        <v>1023601</v>
      </c>
      <c r="I21" s="49">
        <f t="shared" ref="I21:L21" si="6">SUM(I19,I17)</f>
        <v>1315371</v>
      </c>
      <c r="J21" s="49">
        <f t="shared" si="6"/>
        <v>1670052</v>
      </c>
      <c r="K21" s="49">
        <f t="shared" si="6"/>
        <v>1845327</v>
      </c>
      <c r="L21" s="49">
        <f t="shared" si="6"/>
        <v>1944444</v>
      </c>
      <c r="M21" s="62">
        <f>SUM(M19,M17)</f>
        <v>2083373.222428025</v>
      </c>
      <c r="N21" s="62">
        <f t="shared" ref="N21:V21" si="7">SUM(N19,N17)</f>
        <v>2229209.3479979872</v>
      </c>
      <c r="O21" s="62">
        <f t="shared" si="7"/>
        <v>2374107.9556178562</v>
      </c>
      <c r="P21" s="62">
        <f t="shared" si="7"/>
        <v>2528424.9727330171</v>
      </c>
      <c r="Q21" s="62">
        <f t="shared" si="7"/>
        <v>2680130.4710969981</v>
      </c>
      <c r="R21" s="62">
        <f t="shared" si="7"/>
        <v>2840938.2993628187</v>
      </c>
      <c r="S21" s="62">
        <f t="shared" si="7"/>
        <v>2997189.9058277733</v>
      </c>
      <c r="T21" s="62">
        <f t="shared" si="7"/>
        <v>3162035.3506483003</v>
      </c>
      <c r="U21" s="62">
        <f t="shared" si="7"/>
        <v>3320137.1181807155</v>
      </c>
      <c r="V21" s="62">
        <f t="shared" si="7"/>
        <v>3486143.9740897515</v>
      </c>
    </row>
    <row r="22" spans="1:22" ht="13" customHeight="1" x14ac:dyDescent="0.2">
      <c r="A22" s="20"/>
      <c r="B22" s="53"/>
      <c r="C22" s="21"/>
      <c r="D22" s="21"/>
      <c r="E22" s="21"/>
      <c r="F22" s="21"/>
      <c r="G22" s="21"/>
      <c r="H22" s="21"/>
      <c r="I22" s="21"/>
      <c r="J22" s="21"/>
      <c r="K22" s="21"/>
      <c r="L22" s="21"/>
      <c r="M22" s="21"/>
      <c r="N22" s="21"/>
      <c r="O22" s="21"/>
      <c r="P22" s="21"/>
      <c r="Q22" s="21"/>
      <c r="R22" s="21"/>
      <c r="S22" s="21"/>
      <c r="T22" s="21"/>
      <c r="U22" s="21"/>
      <c r="V22" s="21"/>
    </row>
    <row r="23" spans="1:22" s="38" customFormat="1" ht="20" customHeight="1" x14ac:dyDescent="0.2">
      <c r="A23" s="69" t="s">
        <v>121</v>
      </c>
      <c r="B23" s="36"/>
      <c r="C23" s="37"/>
      <c r="D23" s="37"/>
      <c r="E23" s="37"/>
      <c r="F23" s="37"/>
      <c r="G23" s="37"/>
      <c r="H23" s="37"/>
      <c r="I23" s="37"/>
      <c r="J23" s="37"/>
      <c r="K23" s="37"/>
      <c r="L23" s="37"/>
      <c r="M23" s="37"/>
      <c r="N23" s="37"/>
      <c r="O23" s="37"/>
      <c r="P23" s="37"/>
      <c r="Q23" s="37"/>
      <c r="R23" s="37"/>
      <c r="S23" s="37"/>
      <c r="T23" s="37"/>
      <c r="U23" s="37"/>
      <c r="V23" s="37"/>
    </row>
    <row r="24" spans="1:22" ht="17" customHeight="1" x14ac:dyDescent="0.2">
      <c r="A24" s="68" t="s">
        <v>122</v>
      </c>
      <c r="B24" s="53"/>
      <c r="C24" s="21"/>
      <c r="D24" s="21"/>
      <c r="E24" s="21"/>
      <c r="F24" s="21"/>
      <c r="G24" s="21"/>
      <c r="H24" s="21"/>
      <c r="I24" s="21"/>
      <c r="J24" s="21"/>
      <c r="K24" s="21"/>
      <c r="L24" s="21"/>
      <c r="M24" s="21"/>
      <c r="N24" s="21"/>
      <c r="O24" s="21"/>
      <c r="P24" s="21"/>
      <c r="Q24" s="21"/>
      <c r="R24" s="21"/>
      <c r="S24" s="21"/>
      <c r="T24" s="21"/>
      <c r="U24" s="21"/>
      <c r="V24" s="21"/>
    </row>
    <row r="25" spans="1:22" ht="17" customHeight="1" x14ac:dyDescent="0.2">
      <c r="A25" s="26" t="s">
        <v>55</v>
      </c>
      <c r="B25" s="55" t="s">
        <v>118</v>
      </c>
      <c r="C25" s="27"/>
      <c r="D25" s="27"/>
      <c r="E25" s="27"/>
      <c r="F25" s="27"/>
      <c r="G25" s="27"/>
      <c r="H25" s="41">
        <f>'Income Statement-Historic'!C17</f>
        <v>196516</v>
      </c>
      <c r="I25" s="41">
        <f>'Income Statement-Historic'!D17</f>
        <v>270729</v>
      </c>
      <c r="J25" s="41">
        <f>'Income Statement-Historic'!E17</f>
        <v>422476</v>
      </c>
      <c r="K25" s="41">
        <f>'Income Statement-Historic'!F17</f>
        <v>456755</v>
      </c>
      <c r="L25" s="41">
        <f>'Income Statement-Historic'!G17</f>
        <v>493673</v>
      </c>
      <c r="M25" s="43">
        <f>M17*M26</f>
        <v>480058.57485042565</v>
      </c>
      <c r="N25" s="43">
        <f t="shared" ref="N25:V25" si="8">N17*N26</f>
        <v>503389.42158815637</v>
      </c>
      <c r="O25" s="43">
        <f t="shared" si="8"/>
        <v>509304.24729181721</v>
      </c>
      <c r="P25" s="43">
        <f t="shared" si="8"/>
        <v>520712.66243115388</v>
      </c>
      <c r="Q25" s="43">
        <f t="shared" si="8"/>
        <v>529877.20528994233</v>
      </c>
      <c r="R25" s="43">
        <f t="shared" si="8"/>
        <v>539203.04410304537</v>
      </c>
      <c r="S25" s="43">
        <f t="shared" si="8"/>
        <v>568859.21152871277</v>
      </c>
      <c r="T25" s="43">
        <f t="shared" si="8"/>
        <v>600146.46816279192</v>
      </c>
      <c r="U25" s="43">
        <f t="shared" si="8"/>
        <v>630153.79157093156</v>
      </c>
      <c r="V25" s="43">
        <f t="shared" si="8"/>
        <v>661661.48114947812</v>
      </c>
    </row>
    <row r="26" spans="1:22" ht="17" customHeight="1" x14ac:dyDescent="0.2">
      <c r="A26" s="26" t="s">
        <v>123</v>
      </c>
      <c r="B26" s="55" t="s">
        <v>124</v>
      </c>
      <c r="C26" s="30"/>
      <c r="D26" s="30"/>
      <c r="E26" s="30"/>
      <c r="F26" s="30"/>
      <c r="G26" s="30"/>
      <c r="H26" s="31">
        <f>H25/H17</f>
        <v>0.19293209343239975</v>
      </c>
      <c r="I26" s="31">
        <f t="shared" ref="I26:L26" si="9">I25/I17</f>
        <v>0.20628668873324432</v>
      </c>
      <c r="J26" s="31">
        <f t="shared" si="9"/>
        <v>0.25372272926276901</v>
      </c>
      <c r="K26" s="31">
        <f t="shared" si="9"/>
        <v>0.24851288362651275</v>
      </c>
      <c r="L26" s="31">
        <f t="shared" si="9"/>
        <v>0.25435864830636412</v>
      </c>
      <c r="M26" s="32">
        <f>AVERAGE(H26:L26)</f>
        <v>0.23116260867225796</v>
      </c>
      <c r="N26" s="32">
        <f>M26-(M26*2%)</f>
        <v>0.22653935649881279</v>
      </c>
      <c r="O26" s="32">
        <f>N26-(N26*5%)</f>
        <v>0.21521238867387216</v>
      </c>
      <c r="P26" s="32">
        <f>O26-(O26*4%)</f>
        <v>0.20660389312691727</v>
      </c>
      <c r="Q26" s="32">
        <f>P26-(P26*4%)</f>
        <v>0.19833973740184058</v>
      </c>
      <c r="R26" s="32">
        <f>Q26-(Q26*4%)</f>
        <v>0.19040614790576696</v>
      </c>
      <c r="S26" s="32">
        <f>R26</f>
        <v>0.19040614790576696</v>
      </c>
      <c r="T26" s="32">
        <f t="shared" ref="T26:V26" si="10">S26</f>
        <v>0.19040614790576696</v>
      </c>
      <c r="U26" s="32">
        <f t="shared" si="10"/>
        <v>0.19040614790576696</v>
      </c>
      <c r="V26" s="32">
        <f t="shared" si="10"/>
        <v>0.19040614790576696</v>
      </c>
    </row>
    <row r="27" spans="1:22" ht="17" customHeight="1" x14ac:dyDescent="0.2">
      <c r="A27" s="26" t="s">
        <v>57</v>
      </c>
      <c r="B27" s="55" t="s">
        <v>118</v>
      </c>
      <c r="C27" s="27"/>
      <c r="D27" s="27"/>
      <c r="E27" s="27"/>
      <c r="F27" s="27"/>
      <c r="G27" s="27"/>
      <c r="H27" s="41">
        <f>'Income Statement-Historic'!C18</f>
        <v>7371</v>
      </c>
      <c r="I27" s="41">
        <f>'Income Statement-Historic'!D18</f>
        <v>19582</v>
      </c>
      <c r="J27" s="41">
        <f>'Income Statement-Historic'!E18</f>
        <v>9247</v>
      </c>
      <c r="K27" s="41">
        <f>'Income Statement-Historic'!F18</f>
        <v>11825</v>
      </c>
      <c r="L27" s="41">
        <f>'Income Statement-Historic'!G18</f>
        <v>18174</v>
      </c>
      <c r="M27" s="43">
        <f>M17*M28</f>
        <v>18070.947624767105</v>
      </c>
      <c r="N27" s="43">
        <f t="shared" ref="N27:V27" si="11">N17*N28</f>
        <v>19335.913958500802</v>
      </c>
      <c r="O27" s="43">
        <f t="shared" si="11"/>
        <v>20592.748365803356</v>
      </c>
      <c r="P27" s="43">
        <f t="shared" si="11"/>
        <v>21931.277009580572</v>
      </c>
      <c r="Q27" s="43">
        <f t="shared" si="11"/>
        <v>23247.153630155412</v>
      </c>
      <c r="R27" s="43">
        <f t="shared" si="11"/>
        <v>24641.98284796474</v>
      </c>
      <c r="S27" s="43">
        <f t="shared" si="11"/>
        <v>25997.291904602796</v>
      </c>
      <c r="T27" s="43">
        <f t="shared" si="11"/>
        <v>27427.142959355948</v>
      </c>
      <c r="U27" s="43">
        <f t="shared" si="11"/>
        <v>28798.500107323747</v>
      </c>
      <c r="V27" s="43">
        <f t="shared" si="11"/>
        <v>30238.425112689936</v>
      </c>
    </row>
    <row r="28" spans="1:22" ht="17" customHeight="1" x14ac:dyDescent="0.2">
      <c r="A28" s="26" t="s">
        <v>123</v>
      </c>
      <c r="B28" s="55" t="s">
        <v>124</v>
      </c>
      <c r="C28" s="30"/>
      <c r="D28" s="30"/>
      <c r="E28" s="30"/>
      <c r="F28" s="30"/>
      <c r="G28" s="30"/>
      <c r="H28" s="31">
        <f>H27/H17</f>
        <v>7.2365734122932408E-3</v>
      </c>
      <c r="I28" s="31">
        <f t="shared" ref="I28:L28" si="12">I27/I17</f>
        <v>1.4920846820157391E-2</v>
      </c>
      <c r="J28" s="31">
        <f t="shared" si="12"/>
        <v>5.5533901984794985E-3</v>
      </c>
      <c r="K28" s="31">
        <f t="shared" si="12"/>
        <v>6.4337880239592636E-3</v>
      </c>
      <c r="L28" s="31">
        <f t="shared" si="12"/>
        <v>9.3639191819683502E-3</v>
      </c>
      <c r="M28" s="32">
        <f>AVERAGE(H28:L28)</f>
        <v>8.7017035273715491E-3</v>
      </c>
      <c r="N28" s="32">
        <f>$M$28</f>
        <v>8.7017035273715491E-3</v>
      </c>
      <c r="O28" s="32">
        <f t="shared" ref="O28:V28" si="13">$M$28</f>
        <v>8.7017035273715491E-3</v>
      </c>
      <c r="P28" s="32">
        <f t="shared" si="13"/>
        <v>8.7017035273715491E-3</v>
      </c>
      <c r="Q28" s="32">
        <f t="shared" si="13"/>
        <v>8.7017035273715491E-3</v>
      </c>
      <c r="R28" s="32">
        <f t="shared" si="13"/>
        <v>8.7017035273715491E-3</v>
      </c>
      <c r="S28" s="32">
        <f t="shared" si="13"/>
        <v>8.7017035273715491E-3</v>
      </c>
      <c r="T28" s="32">
        <f t="shared" si="13"/>
        <v>8.7017035273715491E-3</v>
      </c>
      <c r="U28" s="32">
        <f t="shared" si="13"/>
        <v>8.7017035273715491E-3</v>
      </c>
      <c r="V28" s="32">
        <f t="shared" si="13"/>
        <v>8.7017035273715491E-3</v>
      </c>
    </row>
    <row r="29" spans="1:22" ht="17" customHeight="1" x14ac:dyDescent="0.2">
      <c r="A29" s="26" t="s">
        <v>125</v>
      </c>
      <c r="B29" s="55" t="s">
        <v>118</v>
      </c>
      <c r="C29" s="27"/>
      <c r="D29" s="27"/>
      <c r="E29" s="27"/>
      <c r="F29" s="27"/>
      <c r="G29" s="27"/>
      <c r="H29" s="28">
        <f>'Income Statement-Historic'!C19</f>
        <v>-950</v>
      </c>
      <c r="I29" s="28">
        <f>'Income Statement-Historic'!D19</f>
        <v>2301</v>
      </c>
      <c r="J29" s="28">
        <f>'Income Statement-Historic'!E19</f>
        <v>-5187</v>
      </c>
      <c r="K29" s="28">
        <f>'Income Statement-Historic'!F19</f>
        <v>-3345</v>
      </c>
      <c r="L29" s="28">
        <f>'Income Statement-Historic'!G19</f>
        <v>-4996</v>
      </c>
      <c r="M29" s="43">
        <f>M17*M30</f>
        <v>-5345.7199999999993</v>
      </c>
      <c r="N29" s="43">
        <f t="shared" ref="N29:V29" si="14">N17*N30</f>
        <v>-5719.9204000000009</v>
      </c>
      <c r="O29" s="43">
        <f t="shared" si="14"/>
        <v>-6091.7152260000003</v>
      </c>
      <c r="P29" s="43">
        <f t="shared" si="14"/>
        <v>-6487.6767156900005</v>
      </c>
      <c r="Q29" s="43">
        <f t="shared" si="14"/>
        <v>-6876.9373186314015</v>
      </c>
      <c r="R29" s="43">
        <f t="shared" si="14"/>
        <v>-7289.5535577492865</v>
      </c>
      <c r="S29" s="43">
        <f t="shared" si="14"/>
        <v>-7690.4790034254966</v>
      </c>
      <c r="T29" s="43">
        <f t="shared" si="14"/>
        <v>-8113.4553486138984</v>
      </c>
      <c r="U29" s="43">
        <f t="shared" si="14"/>
        <v>-8519.1281160445924</v>
      </c>
      <c r="V29" s="43">
        <f t="shared" si="14"/>
        <v>-8945.0845218468239</v>
      </c>
    </row>
    <row r="30" spans="1:22" ht="17" customHeight="1" x14ac:dyDescent="0.2">
      <c r="A30" s="26" t="s">
        <v>126</v>
      </c>
      <c r="B30" s="55" t="s">
        <v>124</v>
      </c>
      <c r="C30" s="30"/>
      <c r="D30" s="30"/>
      <c r="E30" s="30"/>
      <c r="F30" s="30"/>
      <c r="G30" s="30"/>
      <c r="H30" s="31">
        <f>H29/H17</f>
        <v>-9.3267463596236316E-4</v>
      </c>
      <c r="I30" s="31">
        <f t="shared" ref="I30:L30" si="15">I29/I17</f>
        <v>1.7532871276265019E-3</v>
      </c>
      <c r="J30" s="31">
        <f t="shared" si="15"/>
        <v>-3.1151113830986438E-3</v>
      </c>
      <c r="K30" s="31">
        <f t="shared" si="15"/>
        <v>-1.8199594875385823E-3</v>
      </c>
      <c r="L30" s="31">
        <f t="shared" si="15"/>
        <v>-2.5741245863934122E-3</v>
      </c>
      <c r="M30" s="32">
        <f>L30</f>
        <v>-2.5741245863934122E-3</v>
      </c>
      <c r="N30" s="32">
        <f t="shared" ref="N30:V30" si="16">M30</f>
        <v>-2.5741245863934122E-3</v>
      </c>
      <c r="O30" s="32">
        <f t="shared" si="16"/>
        <v>-2.5741245863934122E-3</v>
      </c>
      <c r="P30" s="32">
        <f t="shared" si="16"/>
        <v>-2.5741245863934122E-3</v>
      </c>
      <c r="Q30" s="32">
        <f t="shared" si="16"/>
        <v>-2.5741245863934122E-3</v>
      </c>
      <c r="R30" s="32">
        <f t="shared" si="16"/>
        <v>-2.5741245863934122E-3</v>
      </c>
      <c r="S30" s="32">
        <f t="shared" si="16"/>
        <v>-2.5741245863934122E-3</v>
      </c>
      <c r="T30" s="32">
        <f t="shared" si="16"/>
        <v>-2.5741245863934122E-3</v>
      </c>
      <c r="U30" s="32">
        <f t="shared" si="16"/>
        <v>-2.5741245863934122E-3</v>
      </c>
      <c r="V30" s="32">
        <f t="shared" si="16"/>
        <v>-2.5741245863934122E-3</v>
      </c>
    </row>
    <row r="31" spans="1:22" ht="17" customHeight="1" x14ac:dyDescent="0.2">
      <c r="A31" s="26" t="s">
        <v>61</v>
      </c>
      <c r="B31" s="55" t="s">
        <v>118</v>
      </c>
      <c r="C31" s="27"/>
      <c r="D31" s="27"/>
      <c r="E31" s="27"/>
      <c r="F31" s="27"/>
      <c r="G31" s="27"/>
      <c r="H31" s="41">
        <f>'Income Statement-Historic'!C20</f>
        <v>594267</v>
      </c>
      <c r="I31" s="41">
        <f>'Income Statement-Historic'!D20</f>
        <v>728548</v>
      </c>
      <c r="J31" s="41">
        <f>'Income Statement-Historic'!E20</f>
        <v>915117</v>
      </c>
      <c r="K31" s="41">
        <f>'Income Statement-Historic'!F20</f>
        <v>1025685</v>
      </c>
      <c r="L31" s="41">
        <f>'Income Statement-Historic'!G20</f>
        <v>1049345</v>
      </c>
      <c r="M31" s="43">
        <f>M17*M32</f>
        <v>1157503.2558156415</v>
      </c>
      <c r="N31" s="43">
        <f t="shared" ref="N31:V31" si="17">N17*N32</f>
        <v>1238528.4837227366</v>
      </c>
      <c r="O31" s="43">
        <f t="shared" si="17"/>
        <v>1305842.5068130672</v>
      </c>
      <c r="P31" s="43">
        <f t="shared" si="17"/>
        <v>1376815.0470583574</v>
      </c>
      <c r="Q31" s="43">
        <f t="shared" si="17"/>
        <v>1444829.7103830406</v>
      </c>
      <c r="R31" s="43">
        <f t="shared" si="17"/>
        <v>1516204.2980759633</v>
      </c>
      <c r="S31" s="43">
        <f t="shared" si="17"/>
        <v>1583599.5791254395</v>
      </c>
      <c r="T31" s="43">
        <f t="shared" si="17"/>
        <v>1653990.5804175651</v>
      </c>
      <c r="U31" s="43">
        <f t="shared" si="17"/>
        <v>1719323.2083440591</v>
      </c>
      <c r="V31" s="43">
        <f t="shared" si="17"/>
        <v>1787236.4750736495</v>
      </c>
    </row>
    <row r="32" spans="1:22" ht="17" customHeight="1" x14ac:dyDescent="0.2">
      <c r="A32" s="26" t="s">
        <v>127</v>
      </c>
      <c r="B32" s="55" t="s">
        <v>124</v>
      </c>
      <c r="C32" s="30"/>
      <c r="D32" s="30"/>
      <c r="E32" s="30"/>
      <c r="F32" s="30"/>
      <c r="G32" s="30"/>
      <c r="H32" s="31">
        <f>H31/H17</f>
        <v>0.58342921883099541</v>
      </c>
      <c r="I32" s="31">
        <f t="shared" ref="I32:L32" si="18">I31/I17</f>
        <v>0.55512986973404288</v>
      </c>
      <c r="J32" s="31">
        <f t="shared" si="18"/>
        <v>0.54958384105785263</v>
      </c>
      <c r="K32" s="31">
        <f t="shared" si="18"/>
        <v>0.55805833990314224</v>
      </c>
      <c r="L32" s="31">
        <f t="shared" si="18"/>
        <v>0.54066148200740494</v>
      </c>
      <c r="M32" s="32">
        <f>AVERAGE(H32:L32)</f>
        <v>0.55737255030668764</v>
      </c>
      <c r="N32" s="32">
        <f>M32</f>
        <v>0.55737255030668764</v>
      </c>
      <c r="O32" s="32">
        <f>N32-(N32*1%)</f>
        <v>0.55179882480362075</v>
      </c>
      <c r="P32" s="32">
        <f t="shared" ref="P32:V32" si="19">O32-(O32*1%)</f>
        <v>0.54628083655558457</v>
      </c>
      <c r="Q32" s="32">
        <f t="shared" si="19"/>
        <v>0.54081802819002878</v>
      </c>
      <c r="R32" s="32">
        <f t="shared" si="19"/>
        <v>0.53540984790812851</v>
      </c>
      <c r="S32" s="32">
        <f t="shared" si="19"/>
        <v>0.53005574942904721</v>
      </c>
      <c r="T32" s="32">
        <f t="shared" si="19"/>
        <v>0.52475519193475673</v>
      </c>
      <c r="U32" s="32">
        <f t="shared" si="19"/>
        <v>0.51950764001540917</v>
      </c>
      <c r="V32" s="32">
        <f t="shared" si="19"/>
        <v>0.51431256361525512</v>
      </c>
    </row>
    <row r="33" spans="1:23" ht="17" customHeight="1" x14ac:dyDescent="0.2">
      <c r="A33" s="48" t="s">
        <v>176</v>
      </c>
      <c r="B33" s="54"/>
      <c r="C33" s="45"/>
      <c r="D33" s="45"/>
      <c r="E33" s="45"/>
      <c r="F33" s="45"/>
      <c r="G33" s="45"/>
      <c r="H33" s="73">
        <f>SUM(H25+H27+H29)</f>
        <v>202937</v>
      </c>
      <c r="I33" s="73">
        <f t="shared" ref="I33:V33" si="20">SUM(I25+I27+I29)</f>
        <v>292612</v>
      </c>
      <c r="J33" s="73">
        <f t="shared" si="20"/>
        <v>426536</v>
      </c>
      <c r="K33" s="73">
        <f t="shared" si="20"/>
        <v>465235</v>
      </c>
      <c r="L33" s="73">
        <f t="shared" si="20"/>
        <v>506851</v>
      </c>
      <c r="M33" s="74">
        <f>SUM(M25+M27+M29)</f>
        <v>492783.80247519276</v>
      </c>
      <c r="N33" s="74">
        <f t="shared" si="20"/>
        <v>517005.41514665715</v>
      </c>
      <c r="O33" s="74">
        <f t="shared" si="20"/>
        <v>523805.2804316206</v>
      </c>
      <c r="P33" s="74">
        <f t="shared" si="20"/>
        <v>536156.26272504451</v>
      </c>
      <c r="Q33" s="74">
        <f t="shared" si="20"/>
        <v>546247.42160146625</v>
      </c>
      <c r="R33" s="74">
        <f t="shared" si="20"/>
        <v>556555.47339326085</v>
      </c>
      <c r="S33" s="74">
        <f t="shared" si="20"/>
        <v>587166.02442989009</v>
      </c>
      <c r="T33" s="74">
        <f t="shared" si="20"/>
        <v>619460.15577353397</v>
      </c>
      <c r="U33" s="74">
        <f t="shared" si="20"/>
        <v>650433.16356221074</v>
      </c>
      <c r="V33" s="74">
        <f t="shared" si="20"/>
        <v>682954.82174032123</v>
      </c>
    </row>
    <row r="34" spans="1:23" ht="8" customHeight="1" x14ac:dyDescent="0.2">
      <c r="A34" s="20"/>
      <c r="B34" s="53"/>
      <c r="C34" s="21"/>
      <c r="D34" s="21"/>
      <c r="E34" s="21"/>
      <c r="F34" s="21"/>
      <c r="G34" s="21"/>
      <c r="H34" s="21"/>
      <c r="I34" s="21"/>
      <c r="J34" s="21"/>
      <c r="K34" s="21"/>
      <c r="L34" s="21"/>
      <c r="M34" s="21"/>
      <c r="N34" s="21"/>
      <c r="O34" s="21"/>
      <c r="P34" s="21"/>
      <c r="Q34" s="21"/>
      <c r="R34" s="21"/>
      <c r="S34" s="21"/>
      <c r="T34" s="21"/>
      <c r="U34" s="21"/>
      <c r="V34" s="21"/>
      <c r="W34" s="21"/>
    </row>
    <row r="35" spans="1:23" ht="17" customHeight="1" x14ac:dyDescent="0.2">
      <c r="A35" s="68" t="s">
        <v>128</v>
      </c>
      <c r="B35" s="53"/>
      <c r="C35" s="21"/>
      <c r="D35" s="21"/>
      <c r="E35" s="21"/>
      <c r="F35" s="21"/>
      <c r="G35" s="21"/>
      <c r="I35" s="21"/>
      <c r="J35" s="21"/>
      <c r="K35" s="21"/>
      <c r="L35" s="21"/>
      <c r="M35" s="21"/>
      <c r="N35" s="21"/>
      <c r="O35" s="21"/>
      <c r="P35" s="21"/>
      <c r="Q35" s="21"/>
      <c r="R35" s="21"/>
      <c r="S35" s="21"/>
      <c r="T35" s="21"/>
      <c r="U35" s="21"/>
      <c r="V35" s="21"/>
      <c r="W35" s="21"/>
    </row>
    <row r="36" spans="1:23" ht="17" customHeight="1" x14ac:dyDescent="0.2">
      <c r="A36" s="26" t="s">
        <v>62</v>
      </c>
      <c r="B36" s="55" t="s">
        <v>118</v>
      </c>
      <c r="C36" s="27"/>
      <c r="D36" s="27"/>
      <c r="E36" s="27"/>
      <c r="F36" s="27"/>
      <c r="G36" s="27"/>
      <c r="H36" s="39">
        <f>'Income Statement-Historic'!C21</f>
        <v>48549</v>
      </c>
      <c r="I36" s="39">
        <f>'Income Statement-Historic'!D21</f>
        <v>52312</v>
      </c>
      <c r="J36" s="39">
        <f>'Income Statement-Historic'!E21</f>
        <v>41183</v>
      </c>
      <c r="K36" s="39">
        <f>'Income Statement-Historic'!F21</f>
        <v>45210</v>
      </c>
      <c r="L36" s="39">
        <f>'Income Statement-Historic'!G21</f>
        <v>52180</v>
      </c>
      <c r="M36" s="43">
        <f>M17*M37</f>
        <v>68008.076607814466</v>
      </c>
      <c r="N36" s="43">
        <f t="shared" ref="N36:V36" si="21">N17*N37</f>
        <v>72768.641970361496</v>
      </c>
      <c r="O36" s="43">
        <f t="shared" si="21"/>
        <v>77498.603698434992</v>
      </c>
      <c r="P36" s="43">
        <f t="shared" si="21"/>
        <v>82536.012938833272</v>
      </c>
      <c r="Q36" s="43">
        <f t="shared" si="21"/>
        <v>87488.17371516327</v>
      </c>
      <c r="R36" s="43">
        <f t="shared" si="21"/>
        <v>92737.464138073075</v>
      </c>
      <c r="S36" s="43">
        <f t="shared" si="21"/>
        <v>97838.024665667093</v>
      </c>
      <c r="T36" s="43">
        <f t="shared" si="21"/>
        <v>103219.11602227877</v>
      </c>
      <c r="U36" s="43">
        <f t="shared" si="21"/>
        <v>108380.07182339272</v>
      </c>
      <c r="V36" s="43">
        <f t="shared" si="21"/>
        <v>113799.07541456235</v>
      </c>
    </row>
    <row r="37" spans="1:23" ht="17" customHeight="1" x14ac:dyDescent="0.2">
      <c r="A37" s="26" t="s">
        <v>129</v>
      </c>
      <c r="B37" s="55" t="s">
        <v>124</v>
      </c>
      <c r="C37" s="30"/>
      <c r="D37" s="30"/>
      <c r="E37" s="30"/>
      <c r="F37" s="30"/>
      <c r="G37" s="30"/>
      <c r="H37" s="31">
        <f>H36/H17</f>
        <v>4.7663600948775545E-2</v>
      </c>
      <c r="I37" s="31">
        <f t="shared" ref="I37:L37" si="22">I36/I17</f>
        <v>3.9860041816774258E-2</v>
      </c>
      <c r="J37" s="31">
        <f t="shared" si="22"/>
        <v>2.4732915382716686E-2</v>
      </c>
      <c r="K37" s="31">
        <f t="shared" si="22"/>
        <v>2.459801746834658E-2</v>
      </c>
      <c r="L37" s="31">
        <f t="shared" si="22"/>
        <v>2.6885072241394768E-2</v>
      </c>
      <c r="M37" s="32">
        <f>AVERAGE(H37:L37)</f>
        <v>3.2747929571601567E-2</v>
      </c>
      <c r="N37" s="32">
        <f>M37</f>
        <v>3.2747929571601567E-2</v>
      </c>
      <c r="O37" s="32">
        <f t="shared" ref="O37:V37" si="23">N37</f>
        <v>3.2747929571601567E-2</v>
      </c>
      <c r="P37" s="32">
        <f t="shared" si="23"/>
        <v>3.2747929571601567E-2</v>
      </c>
      <c r="Q37" s="32">
        <f t="shared" si="23"/>
        <v>3.2747929571601567E-2</v>
      </c>
      <c r="R37" s="32">
        <f t="shared" si="23"/>
        <v>3.2747929571601567E-2</v>
      </c>
      <c r="S37" s="32">
        <f t="shared" si="23"/>
        <v>3.2747929571601567E-2</v>
      </c>
      <c r="T37" s="32">
        <f t="shared" si="23"/>
        <v>3.2747929571601567E-2</v>
      </c>
      <c r="U37" s="32">
        <f t="shared" si="23"/>
        <v>3.2747929571601567E-2</v>
      </c>
      <c r="V37" s="32">
        <f t="shared" si="23"/>
        <v>3.2747929571601567E-2</v>
      </c>
    </row>
    <row r="38" spans="1:23" ht="17" customHeight="1" x14ac:dyDescent="0.2">
      <c r="A38" s="26" t="s">
        <v>64</v>
      </c>
      <c r="B38" s="55" t="s">
        <v>118</v>
      </c>
      <c r="C38" s="27"/>
      <c r="D38" s="27"/>
      <c r="E38" s="27"/>
      <c r="F38" s="27"/>
      <c r="G38" s="27"/>
      <c r="H38" s="50" t="str">
        <f>'Income Statement-Historic'!C22</f>
        <v>—</v>
      </c>
      <c r="I38" s="50" t="str">
        <f>'Income Statement-Historic'!D22</f>
        <v>—</v>
      </c>
      <c r="J38" s="50">
        <f>'Income Statement-Historic'!E22</f>
        <v>18368</v>
      </c>
      <c r="K38" s="50">
        <f>'Income Statement-Historic'!F22</f>
        <v>19525</v>
      </c>
      <c r="L38" s="50">
        <f>'Income Statement-Historic'!G22</f>
        <v>19666</v>
      </c>
      <c r="M38" s="43">
        <f>M17*M39</f>
        <v>22004.162827796914</v>
      </c>
      <c r="N38" s="43">
        <f t="shared" ref="N38:V38" si="24">N17*N39</f>
        <v>23544.454225742698</v>
      </c>
      <c r="O38" s="43">
        <f t="shared" si="24"/>
        <v>25074.843750415974</v>
      </c>
      <c r="P38" s="43">
        <f t="shared" si="24"/>
        <v>26704.708594193013</v>
      </c>
      <c r="Q38" s="43">
        <f t="shared" si="24"/>
        <v>28306.991109844599</v>
      </c>
      <c r="R38" s="43">
        <f t="shared" si="24"/>
        <v>30005.410576435279</v>
      </c>
      <c r="S38" s="43">
        <f t="shared" si="24"/>
        <v>31655.708158139212</v>
      </c>
      <c r="T38" s="43">
        <f t="shared" si="24"/>
        <v>33396.77210683687</v>
      </c>
      <c r="U38" s="43">
        <f t="shared" si="24"/>
        <v>35066.610712178714</v>
      </c>
      <c r="V38" s="43">
        <f t="shared" si="24"/>
        <v>36819.941247787654</v>
      </c>
    </row>
    <row r="39" spans="1:23" ht="17" customHeight="1" x14ac:dyDescent="0.2">
      <c r="A39" s="26" t="s">
        <v>130</v>
      </c>
      <c r="B39" s="55" t="s">
        <v>124</v>
      </c>
      <c r="C39" s="30"/>
      <c r="D39" s="30"/>
      <c r="E39" s="30"/>
      <c r="F39" s="30"/>
      <c r="G39" s="30"/>
      <c r="H39" s="31"/>
      <c r="I39" s="31"/>
      <c r="J39" s="31">
        <f t="shared" ref="J39:L39" si="25">J38/J17</f>
        <v>1.1031109675102352E-2</v>
      </c>
      <c r="K39" s="31">
        <f t="shared" si="25"/>
        <v>1.0623231388397854E-2</v>
      </c>
      <c r="L39" s="31">
        <f t="shared" si="25"/>
        <v>1.0132652945559017E-2</v>
      </c>
      <c r="M39" s="32">
        <f>AVERAGE(J39:L39)</f>
        <v>1.0595664669686408E-2</v>
      </c>
      <c r="N39" s="32">
        <f>M39</f>
        <v>1.0595664669686408E-2</v>
      </c>
      <c r="O39" s="32">
        <f t="shared" ref="O39:V39" si="26">N39</f>
        <v>1.0595664669686408E-2</v>
      </c>
      <c r="P39" s="32">
        <f t="shared" si="26"/>
        <v>1.0595664669686408E-2</v>
      </c>
      <c r="Q39" s="32">
        <f t="shared" si="26"/>
        <v>1.0595664669686408E-2</v>
      </c>
      <c r="R39" s="32">
        <f t="shared" si="26"/>
        <v>1.0595664669686408E-2</v>
      </c>
      <c r="S39" s="32">
        <f t="shared" si="26"/>
        <v>1.0595664669686408E-2</v>
      </c>
      <c r="T39" s="32">
        <f t="shared" si="26"/>
        <v>1.0595664669686408E-2</v>
      </c>
      <c r="U39" s="32">
        <f t="shared" si="26"/>
        <v>1.0595664669686408E-2</v>
      </c>
      <c r="V39" s="32">
        <f t="shared" si="26"/>
        <v>1.0595664669686408E-2</v>
      </c>
    </row>
    <row r="40" spans="1:23" ht="8" customHeight="1" x14ac:dyDescent="0.2">
      <c r="A40" s="20"/>
      <c r="B40" s="53"/>
      <c r="C40" s="21"/>
      <c r="D40" s="21"/>
      <c r="E40" s="21"/>
      <c r="F40" s="21"/>
      <c r="G40" s="21"/>
      <c r="H40" s="21"/>
      <c r="I40" s="21"/>
      <c r="J40" s="21"/>
      <c r="K40" s="21"/>
      <c r="L40" s="21"/>
      <c r="M40" s="21"/>
      <c r="N40" s="21"/>
      <c r="O40" s="21"/>
      <c r="P40" s="21"/>
      <c r="Q40" s="21"/>
      <c r="R40" s="21"/>
      <c r="S40" s="21"/>
      <c r="T40" s="21"/>
      <c r="U40" s="21"/>
      <c r="V40" s="21"/>
    </row>
    <row r="41" spans="1:23" ht="17" customHeight="1" x14ac:dyDescent="0.2">
      <c r="A41" s="68" t="s">
        <v>131</v>
      </c>
      <c r="B41" s="53"/>
      <c r="C41" s="21"/>
      <c r="D41" s="21"/>
      <c r="E41" s="21"/>
      <c r="F41" s="21"/>
      <c r="G41" s="21"/>
      <c r="H41" s="21"/>
      <c r="I41" s="21"/>
      <c r="J41" s="21"/>
      <c r="K41" s="21"/>
      <c r="L41" s="21"/>
      <c r="M41" s="21"/>
      <c r="N41" s="21"/>
      <c r="O41" s="21"/>
      <c r="P41" s="21"/>
      <c r="Q41" s="21"/>
      <c r="R41" s="21"/>
      <c r="S41" s="21"/>
      <c r="T41" s="21"/>
      <c r="U41" s="21"/>
      <c r="V41" s="21"/>
    </row>
    <row r="42" spans="1:23" ht="17" customHeight="1" x14ac:dyDescent="0.2">
      <c r="A42" s="26" t="s">
        <v>69</v>
      </c>
      <c r="B42" s="55" t="s">
        <v>118</v>
      </c>
      <c r="C42" s="27"/>
      <c r="D42" s="27"/>
      <c r="E42" s="27"/>
      <c r="F42" s="27"/>
      <c r="G42" s="27"/>
      <c r="H42" s="41">
        <f>'Income Statement-Historic'!C25</f>
        <v>134717</v>
      </c>
      <c r="I42" s="41">
        <f>'Income Statement-Historic'!D25</f>
        <v>169258</v>
      </c>
      <c r="J42" s="41">
        <f>'Income Statement-Historic'!E25</f>
        <v>202282</v>
      </c>
      <c r="K42" s="41">
        <f>'Income Statement-Historic'!F25</f>
        <v>212679</v>
      </c>
      <c r="L42" s="41">
        <f>'Income Statement-Historic'!G25</f>
        <v>228731</v>
      </c>
      <c r="M42" s="43">
        <f>M17*M43</f>
        <v>255966.52275715757</v>
      </c>
      <c r="N42" s="43">
        <f t="shared" ref="N42:V42" si="27">N17*N43</f>
        <v>273884.17935015861</v>
      </c>
      <c r="O42" s="43">
        <f t="shared" si="27"/>
        <v>288769.78449783975</v>
      </c>
      <c r="P42" s="43">
        <f t="shared" si="27"/>
        <v>304464.42228529736</v>
      </c>
      <c r="Q42" s="43">
        <f t="shared" si="27"/>
        <v>319504.96474619111</v>
      </c>
      <c r="R42" s="43">
        <f t="shared" si="27"/>
        <v>335288.51000465296</v>
      </c>
      <c r="S42" s="43">
        <f t="shared" si="27"/>
        <v>343117.49671326159</v>
      </c>
      <c r="T42" s="43">
        <f t="shared" si="27"/>
        <v>351129.29026151617</v>
      </c>
      <c r="U42" s="43">
        <f t="shared" si="27"/>
        <v>357625.18213135423</v>
      </c>
      <c r="V42" s="43">
        <f t="shared" si="27"/>
        <v>364241.24800078425</v>
      </c>
    </row>
    <row r="43" spans="1:23" ht="17" customHeight="1" x14ac:dyDescent="0.2">
      <c r="A43" s="26" t="s">
        <v>132</v>
      </c>
      <c r="B43" s="55" t="s">
        <v>124</v>
      </c>
      <c r="C43" s="30"/>
      <c r="D43" s="30"/>
      <c r="E43" s="30"/>
      <c r="F43" s="30"/>
      <c r="G43" s="30"/>
      <c r="H43" s="31">
        <f>H42/H17</f>
        <v>0.13226013571888598</v>
      </c>
      <c r="I43" s="31">
        <f>I42/I17</f>
        <v>0.12896908850404451</v>
      </c>
      <c r="J43" s="31">
        <f>J42/J17</f>
        <v>0.12148273776671677</v>
      </c>
      <c r="K43" s="31">
        <f>K42/K17</f>
        <v>0.11571514614356297</v>
      </c>
      <c r="L43" s="31">
        <f>L42/L17</f>
        <v>0.11785069871304076</v>
      </c>
      <c r="M43" s="32">
        <f>AVERAGE(H43:L43)</f>
        <v>0.1232555613692502</v>
      </c>
      <c r="N43" s="32">
        <f>M43</f>
        <v>0.1232555613692502</v>
      </c>
      <c r="O43" s="32">
        <f>N43-(N43*1%)</f>
        <v>0.1220230057555577</v>
      </c>
      <c r="P43" s="32">
        <f t="shared" ref="P43:R43" si="28">O43-(O43*1%)</f>
        <v>0.12080277569800213</v>
      </c>
      <c r="Q43" s="32">
        <f t="shared" si="28"/>
        <v>0.11959474794102211</v>
      </c>
      <c r="R43" s="32">
        <f t="shared" si="28"/>
        <v>0.11839880046161189</v>
      </c>
      <c r="S43" s="32">
        <f>R43-(R43*3%)</f>
        <v>0.11484683644776353</v>
      </c>
      <c r="T43" s="32">
        <f t="shared" ref="T43:V43" si="29">S43-(S43*3%)</f>
        <v>0.11140143135433062</v>
      </c>
      <c r="U43" s="32">
        <f t="shared" si="29"/>
        <v>0.10805938841370069</v>
      </c>
      <c r="V43" s="32">
        <f t="shared" si="29"/>
        <v>0.10481760676128966</v>
      </c>
    </row>
    <row r="44" spans="1:23" ht="17" customHeight="1" x14ac:dyDescent="0.2">
      <c r="A44" s="68" t="s">
        <v>158</v>
      </c>
      <c r="B44" s="54"/>
      <c r="C44" s="45"/>
      <c r="D44" s="45"/>
      <c r="E44" s="45"/>
      <c r="F44" s="45"/>
      <c r="G44" s="45"/>
      <c r="H44" s="46"/>
      <c r="I44" s="46"/>
      <c r="J44" s="46"/>
      <c r="K44" s="46"/>
      <c r="L44" s="46"/>
      <c r="M44" s="47"/>
      <c r="N44" s="47"/>
      <c r="O44" s="47"/>
      <c r="P44" s="47"/>
      <c r="Q44" s="47"/>
      <c r="R44" s="47"/>
      <c r="S44" s="47"/>
      <c r="T44" s="47"/>
      <c r="U44" s="47"/>
      <c r="V44" s="47"/>
    </row>
    <row r="45" spans="1:23" ht="17" customHeight="1" x14ac:dyDescent="0.2">
      <c r="A45" s="26" t="s">
        <v>158</v>
      </c>
      <c r="B45" s="55" t="s">
        <v>118</v>
      </c>
      <c r="C45" s="27"/>
      <c r="D45" s="27"/>
      <c r="E45" s="27"/>
      <c r="F45" s="27"/>
      <c r="G45" s="27"/>
      <c r="H45" s="41">
        <f>'Income Statement-Historic'!C23</f>
        <v>2267</v>
      </c>
      <c r="I45" s="41">
        <f>'Income Statement-Historic'!D23</f>
        <v>1478</v>
      </c>
      <c r="J45" s="41">
        <f>'Income Statement-Historic'!E23</f>
        <v>464</v>
      </c>
      <c r="K45" s="41">
        <f>'Income Statement-Historic'!F23</f>
        <v>689</v>
      </c>
      <c r="L45" s="41">
        <f>'Income Statement-Historic'!G23</f>
        <v>1286</v>
      </c>
      <c r="M45" s="43">
        <f>M46*M17</f>
        <v>1938.8087880708692</v>
      </c>
      <c r="N45" s="43">
        <f t="shared" ref="N45:V45" si="30">N46*N17</f>
        <v>2074.5254032358303</v>
      </c>
      <c r="O45" s="43">
        <f t="shared" si="30"/>
        <v>2209.3695544461593</v>
      </c>
      <c r="P45" s="43">
        <f t="shared" si="30"/>
        <v>2352.9785754851596</v>
      </c>
      <c r="Q45" s="43">
        <f t="shared" si="30"/>
        <v>2494.1572900142696</v>
      </c>
      <c r="R45" s="43">
        <f t="shared" si="30"/>
        <v>2643.8067274151263</v>
      </c>
      <c r="S45" s="43">
        <f t="shared" si="30"/>
        <v>2789.2160974229578</v>
      </c>
      <c r="T45" s="43">
        <f t="shared" si="30"/>
        <v>2942.6229827812203</v>
      </c>
      <c r="U45" s="43">
        <f t="shared" si="30"/>
        <v>3089.7541319202815</v>
      </c>
      <c r="V45" s="43">
        <f t="shared" si="30"/>
        <v>3244.2418385162955</v>
      </c>
    </row>
    <row r="46" spans="1:23" ht="16" customHeight="1" x14ac:dyDescent="0.2">
      <c r="A46" s="26" t="s">
        <v>159</v>
      </c>
      <c r="B46" s="55" t="s">
        <v>124</v>
      </c>
      <c r="C46" s="30"/>
      <c r="D46" s="30"/>
      <c r="E46" s="30"/>
      <c r="F46" s="30"/>
      <c r="G46" s="30"/>
      <c r="H46" s="31">
        <f>H45/H17</f>
        <v>2.2256562102386077E-3</v>
      </c>
      <c r="I46" s="31">
        <f t="shared" ref="I46:L46" si="31">I45/I17</f>
        <v>1.1261879072716079E-3</v>
      </c>
      <c r="J46" s="31">
        <f t="shared" si="31"/>
        <v>2.7866043604352628E-4</v>
      </c>
      <c r="K46" s="31">
        <f t="shared" si="31"/>
        <v>3.7487356858418035E-4</v>
      </c>
      <c r="L46" s="31">
        <f t="shared" si="31"/>
        <v>6.6259491955603046E-4</v>
      </c>
      <c r="M46" s="32">
        <f>AVERAGE(H46:L46)</f>
        <v>9.3359460833879052E-4</v>
      </c>
      <c r="N46" s="32">
        <f>M46</f>
        <v>9.3359460833879052E-4</v>
      </c>
      <c r="O46" s="32">
        <f t="shared" ref="O46:V46" si="32">N46</f>
        <v>9.3359460833879052E-4</v>
      </c>
      <c r="P46" s="32">
        <f t="shared" si="32"/>
        <v>9.3359460833879052E-4</v>
      </c>
      <c r="Q46" s="32">
        <f t="shared" si="32"/>
        <v>9.3359460833879052E-4</v>
      </c>
      <c r="R46" s="32">
        <f t="shared" si="32"/>
        <v>9.3359460833879052E-4</v>
      </c>
      <c r="S46" s="32">
        <f t="shared" si="32"/>
        <v>9.3359460833879052E-4</v>
      </c>
      <c r="T46" s="32">
        <f t="shared" si="32"/>
        <v>9.3359460833879052E-4</v>
      </c>
      <c r="U46" s="32">
        <f t="shared" si="32"/>
        <v>9.3359460833879052E-4</v>
      </c>
      <c r="V46" s="32">
        <f t="shared" si="32"/>
        <v>9.3359460833879052E-4</v>
      </c>
    </row>
    <row r="47" spans="1:23" ht="17" customHeight="1" x14ac:dyDescent="0.2">
      <c r="A47" s="68" t="s">
        <v>133</v>
      </c>
      <c r="B47" s="53"/>
      <c r="C47" s="21"/>
      <c r="D47" s="21"/>
      <c r="E47" s="21"/>
      <c r="F47" s="21"/>
      <c r="G47" s="21"/>
      <c r="H47" s="21"/>
      <c r="I47" s="21"/>
      <c r="J47" s="21"/>
      <c r="K47" s="21"/>
      <c r="L47" s="21"/>
      <c r="M47" s="21"/>
      <c r="N47" s="21"/>
      <c r="O47" s="21"/>
      <c r="P47" s="21"/>
      <c r="Q47" s="21"/>
      <c r="R47" s="21"/>
      <c r="S47" s="21"/>
      <c r="T47" s="21"/>
      <c r="U47" s="21"/>
      <c r="V47" s="21"/>
    </row>
    <row r="48" spans="1:23" ht="17" customHeight="1" x14ac:dyDescent="0.2">
      <c r="A48" s="26" t="s">
        <v>67</v>
      </c>
      <c r="B48" s="55" t="s">
        <v>118</v>
      </c>
      <c r="C48" s="27"/>
      <c r="D48" s="27"/>
      <c r="E48" s="27"/>
      <c r="F48" s="27"/>
      <c r="G48" s="27"/>
      <c r="H48" s="41">
        <f>'Income Statement-Historic'!C24</f>
        <v>23201</v>
      </c>
      <c r="I48" s="41">
        <f>'Income Statement-Historic'!D24</f>
        <v>21719</v>
      </c>
      <c r="J48" s="41">
        <f>'Income Statement-Historic'!E24</f>
        <v>21059</v>
      </c>
      <c r="K48" s="41">
        <f>'Income Statement-Historic'!F24</f>
        <v>21190</v>
      </c>
      <c r="L48" s="41">
        <f>'Income Statement-Historic'!G24</f>
        <v>23298</v>
      </c>
      <c r="M48" s="43">
        <f>M49*M17</f>
        <v>31361.449178577066</v>
      </c>
      <c r="N48" s="43">
        <f t="shared" ref="N48:V48" si="33">N49*N17</f>
        <v>33556.750621077466</v>
      </c>
      <c r="O48" s="43">
        <f t="shared" si="33"/>
        <v>35737.9394114475</v>
      </c>
      <c r="P48" s="43">
        <f t="shared" si="33"/>
        <v>38060.905473191589</v>
      </c>
      <c r="Q48" s="43">
        <f t="shared" si="33"/>
        <v>40344.559801583091</v>
      </c>
      <c r="R48" s="43">
        <f t="shared" si="33"/>
        <v>42765.233389678084</v>
      </c>
      <c r="S48" s="43">
        <f t="shared" si="33"/>
        <v>45117.321226110369</v>
      </c>
      <c r="T48" s="43">
        <f t="shared" si="33"/>
        <v>47598.773893546437</v>
      </c>
      <c r="U48" s="43">
        <f t="shared" si="33"/>
        <v>49978.71258822376</v>
      </c>
      <c r="V48" s="43">
        <f t="shared" si="33"/>
        <v>52477.648217634953</v>
      </c>
    </row>
    <row r="49" spans="1:22" ht="17" customHeight="1" x14ac:dyDescent="0.2">
      <c r="A49" s="26" t="s">
        <v>134</v>
      </c>
      <c r="B49" s="55" t="s">
        <v>124</v>
      </c>
      <c r="C49" s="30"/>
      <c r="D49" s="30"/>
      <c r="E49" s="30"/>
      <c r="F49" s="30"/>
      <c r="G49" s="30"/>
      <c r="H49" s="31">
        <f>H48/H17</f>
        <v>2.2777878135750301E-2</v>
      </c>
      <c r="I49" s="31">
        <f>I48/I17</f>
        <v>1.6549171284189479E-2</v>
      </c>
      <c r="J49" s="31">
        <f>J48/J17</f>
        <v>1.2647220091897888E-2</v>
      </c>
      <c r="K49" s="31">
        <f>K48/K17</f>
        <v>1.152913050551347E-2</v>
      </c>
      <c r="L49" s="31">
        <f>L48/L17</f>
        <v>1.2003994118053187E-2</v>
      </c>
      <c r="M49" s="32">
        <f>AVERAGE(H49:L49)</f>
        <v>1.5101478827080864E-2</v>
      </c>
      <c r="N49" s="32">
        <f>M49</f>
        <v>1.5101478827080864E-2</v>
      </c>
      <c r="O49" s="32">
        <f t="shared" ref="O49:V49" si="34">N49</f>
        <v>1.5101478827080864E-2</v>
      </c>
      <c r="P49" s="32">
        <f t="shared" si="34"/>
        <v>1.5101478827080864E-2</v>
      </c>
      <c r="Q49" s="32">
        <f t="shared" si="34"/>
        <v>1.5101478827080864E-2</v>
      </c>
      <c r="R49" s="32">
        <f t="shared" si="34"/>
        <v>1.5101478827080864E-2</v>
      </c>
      <c r="S49" s="32">
        <f t="shared" si="34"/>
        <v>1.5101478827080864E-2</v>
      </c>
      <c r="T49" s="32">
        <f t="shared" si="34"/>
        <v>1.5101478827080864E-2</v>
      </c>
      <c r="U49" s="32">
        <f t="shared" si="34"/>
        <v>1.5101478827080864E-2</v>
      </c>
      <c r="V49" s="32">
        <f t="shared" si="34"/>
        <v>1.5101478827080864E-2</v>
      </c>
    </row>
    <row r="50" spans="1:22" ht="17" customHeight="1" x14ac:dyDescent="0.2">
      <c r="A50" s="48" t="s">
        <v>71</v>
      </c>
      <c r="B50" s="54"/>
      <c r="C50" s="45"/>
      <c r="D50" s="45"/>
      <c r="E50" s="45"/>
      <c r="F50" s="45"/>
      <c r="G50" s="45"/>
      <c r="H50" s="61">
        <f>-SUM(H48,H45,H42,H36,H38,H31,H29,H27,H25)</f>
        <v>-1005938</v>
      </c>
      <c r="I50" s="61">
        <f t="shared" ref="I50:V50" si="35">-SUM(I48,I45,I42,I36,I38,I31,I29,I27,I25)</f>
        <v>-1265927</v>
      </c>
      <c r="J50" s="61">
        <f t="shared" si="35"/>
        <v>-1625009</v>
      </c>
      <c r="K50" s="61">
        <f t="shared" si="35"/>
        <v>-1790213</v>
      </c>
      <c r="L50" s="61">
        <f t="shared" si="35"/>
        <v>-1881357</v>
      </c>
      <c r="M50" s="63">
        <f t="shared" si="35"/>
        <v>-2029566.0784502511</v>
      </c>
      <c r="N50" s="63">
        <f t="shared" si="35"/>
        <v>-2161362.45043997</v>
      </c>
      <c r="O50" s="63">
        <f t="shared" si="35"/>
        <v>-2258938.3281572722</v>
      </c>
      <c r="P50" s="63">
        <f t="shared" si="35"/>
        <v>-2367090.3376504024</v>
      </c>
      <c r="Q50" s="63">
        <f t="shared" si="35"/>
        <v>-2469215.9786473033</v>
      </c>
      <c r="R50" s="63">
        <f t="shared" si="35"/>
        <v>-2576200.1963054785</v>
      </c>
      <c r="S50" s="63">
        <f t="shared" si="35"/>
        <v>-2691283.3704159311</v>
      </c>
      <c r="T50" s="63">
        <f t="shared" si="35"/>
        <v>-2811737.3114580587</v>
      </c>
      <c r="U50" s="63">
        <f t="shared" si="35"/>
        <v>-2923896.7032933393</v>
      </c>
      <c r="V50" s="63">
        <f t="shared" si="35"/>
        <v>-3040773.4515332561</v>
      </c>
    </row>
    <row r="51" spans="1:22" ht="17" customHeight="1" x14ac:dyDescent="0.2">
      <c r="A51" s="20"/>
      <c r="B51" s="54"/>
      <c r="C51" s="45"/>
      <c r="D51" s="45"/>
      <c r="E51" s="45"/>
      <c r="F51" s="45"/>
      <c r="G51" s="45"/>
      <c r="H51" s="61"/>
      <c r="I51" s="61"/>
      <c r="J51" s="61"/>
      <c r="K51" s="61"/>
      <c r="L51" s="61"/>
      <c r="M51" s="220"/>
      <c r="N51" s="220"/>
      <c r="O51" s="220"/>
      <c r="P51" s="220"/>
      <c r="Q51" s="220"/>
      <c r="R51" s="220"/>
      <c r="S51" s="220"/>
      <c r="T51" s="220"/>
      <c r="U51" s="220"/>
      <c r="V51" s="220"/>
    </row>
    <row r="52" spans="1:22" ht="17" customHeight="1" x14ac:dyDescent="0.2">
      <c r="A52" s="68" t="s">
        <v>426</v>
      </c>
      <c r="B52" s="54"/>
      <c r="C52" s="45"/>
      <c r="D52" s="45"/>
      <c r="E52" s="45"/>
      <c r="F52" s="45"/>
      <c r="G52" s="45"/>
      <c r="H52" s="49">
        <f>FS!D25</f>
        <v>11383</v>
      </c>
      <c r="I52" s="49">
        <f>FS!E25</f>
        <v>36608</v>
      </c>
      <c r="J52" s="49">
        <f>FS!F25</f>
        <v>30468</v>
      </c>
      <c r="K52" s="49">
        <f>FS!G25</f>
        <v>41086</v>
      </c>
      <c r="L52" s="49">
        <f>FS!H25</f>
        <v>44241</v>
      </c>
      <c r="M52" s="49">
        <f>FS!I25</f>
        <v>37665.000784441523</v>
      </c>
      <c r="N52" s="49">
        <f>FS!J25</f>
        <v>47492.828290612015</v>
      </c>
      <c r="O52" s="49">
        <f>FS!K25</f>
        <v>80618.739222408825</v>
      </c>
      <c r="P52" s="49">
        <f>FS!L25</f>
        <v>112934.24455783056</v>
      </c>
      <c r="Q52" s="49">
        <f>FS!M25</f>
        <v>147640.14471478635</v>
      </c>
      <c r="R52" s="49">
        <f>FS!N25</f>
        <v>185316.67214013817</v>
      </c>
      <c r="S52" s="49">
        <f>FS!O25</f>
        <v>214134.57478828984</v>
      </c>
      <c r="T52" s="49">
        <f>FS!P25</f>
        <v>245208.62743316911</v>
      </c>
      <c r="U52" s="49">
        <f>FS!Q25</f>
        <v>277368.29042116361</v>
      </c>
      <c r="V52" s="49">
        <f>FS!R25</f>
        <v>311759.36578954675</v>
      </c>
    </row>
    <row r="53" spans="1:22" ht="17" customHeight="1" x14ac:dyDescent="0.2">
      <c r="A53" s="20"/>
      <c r="B53" s="54"/>
      <c r="C53" s="45"/>
      <c r="D53" s="45"/>
      <c r="E53" s="45"/>
      <c r="F53" s="45"/>
      <c r="G53" s="45"/>
      <c r="H53" s="49"/>
      <c r="I53" s="226">
        <f>(I52/H52)-1</f>
        <v>2.2160238952824387</v>
      </c>
      <c r="J53" s="226">
        <f t="shared" ref="J53:V53" si="36">(J52/I52)-1</f>
        <v>-0.16772290209790208</v>
      </c>
      <c r="K53" s="226">
        <f t="shared" si="36"/>
        <v>0.34849678351056856</v>
      </c>
      <c r="L53" s="226">
        <f t="shared" si="36"/>
        <v>7.6790147495497285E-2</v>
      </c>
      <c r="M53" s="226">
        <f t="shared" si="36"/>
        <v>-0.14864038370648214</v>
      </c>
      <c r="N53" s="226">
        <f t="shared" si="36"/>
        <v>0.2609273145224551</v>
      </c>
      <c r="O53" s="226">
        <f t="shared" si="36"/>
        <v>0.69749290838391409</v>
      </c>
      <c r="P53" s="226">
        <f t="shared" si="36"/>
        <v>0.40084359600651398</v>
      </c>
      <c r="Q53" s="226">
        <f t="shared" si="36"/>
        <v>0.30731068590257271</v>
      </c>
      <c r="R53" s="226">
        <f t="shared" si="36"/>
        <v>0.25519161809368285</v>
      </c>
      <c r="S53" s="226">
        <f t="shared" si="36"/>
        <v>0.15550626025897607</v>
      </c>
      <c r="T53" s="226">
        <f t="shared" si="36"/>
        <v>0.14511459756371203</v>
      </c>
      <c r="U53" s="226">
        <f t="shared" si="36"/>
        <v>0.13115224910575196</v>
      </c>
      <c r="V53" s="226">
        <f t="shared" si="36"/>
        <v>0.12399065270281184</v>
      </c>
    </row>
    <row r="54" spans="1:22" ht="17" customHeight="1" x14ac:dyDescent="0.2">
      <c r="A54" s="68" t="s">
        <v>335</v>
      </c>
      <c r="B54" s="54"/>
      <c r="C54" s="45"/>
      <c r="D54" s="45"/>
      <c r="E54" s="45"/>
      <c r="F54" s="45"/>
      <c r="G54" s="45"/>
      <c r="H54" s="49">
        <f>FS!D26</f>
        <v>19208</v>
      </c>
      <c r="I54" s="49">
        <f>FS!E26</f>
        <v>50922</v>
      </c>
      <c r="J54" s="49">
        <f>FS!F26</f>
        <v>42195</v>
      </c>
      <c r="K54" s="49">
        <f>FS!G26</f>
        <v>55803</v>
      </c>
      <c r="L54" s="49">
        <f>FS!H26</f>
        <v>61797</v>
      </c>
      <c r="M54" s="49">
        <f>FS!I26</f>
        <v>55745.952765844479</v>
      </c>
      <c r="N54" s="49">
        <f>FS!J26</f>
        <v>69921.422961253003</v>
      </c>
      <c r="O54" s="49">
        <f>FS!K26</f>
        <v>117378.99701503021</v>
      </c>
      <c r="P54" s="49">
        <f>FS!L26</f>
        <v>163687.61365810022</v>
      </c>
      <c r="Q54" s="49">
        <f>FS!M26</f>
        <v>213408.64973970904</v>
      </c>
      <c r="R54" s="49">
        <f>FS!N26</f>
        <v>267381.90978475538</v>
      </c>
      <c r="S54" s="49">
        <f>FS!O26</f>
        <v>308695.75150926557</v>
      </c>
      <c r="T54" s="49">
        <f>FS!P26</f>
        <v>353240.66217302281</v>
      </c>
      <c r="U54" s="49">
        <f>FS!Q26</f>
        <v>399330.16901929688</v>
      </c>
      <c r="V54" s="49">
        <f>FS!R26</f>
        <v>448614.76439501171</v>
      </c>
    </row>
    <row r="55" spans="1:22" ht="17" customHeight="1" x14ac:dyDescent="0.2">
      <c r="A55" s="20"/>
      <c r="B55" s="54"/>
      <c r="C55" s="45"/>
      <c r="D55" s="45"/>
      <c r="E55" s="45"/>
      <c r="F55" s="45"/>
      <c r="G55" s="45"/>
      <c r="H55" s="49"/>
      <c r="I55" s="226">
        <f>(I54/H54)-1</f>
        <v>1.651082882132445</v>
      </c>
      <c r="J55" s="226">
        <f t="shared" ref="J55:V55" si="37">(J54/I54)-1</f>
        <v>-0.17137975727583366</v>
      </c>
      <c r="K55" s="226">
        <f t="shared" si="37"/>
        <v>0.32250266619267687</v>
      </c>
      <c r="L55" s="226">
        <f t="shared" si="37"/>
        <v>0.1074135799150584</v>
      </c>
      <c r="M55" s="226">
        <f t="shared" si="37"/>
        <v>-9.7918138973664082E-2</v>
      </c>
      <c r="N55" s="226">
        <f t="shared" si="37"/>
        <v>0.25428698393498128</v>
      </c>
      <c r="O55" s="226">
        <f t="shared" si="37"/>
        <v>0.678727234714257</v>
      </c>
      <c r="P55" s="226">
        <f t="shared" si="37"/>
        <v>0.39452217024090142</v>
      </c>
      <c r="Q55" s="226">
        <f t="shared" si="37"/>
        <v>0.3037556414345608</v>
      </c>
      <c r="R55" s="226">
        <f t="shared" si="37"/>
        <v>0.25291036755481389</v>
      </c>
      <c r="S55" s="226">
        <f t="shared" si="37"/>
        <v>0.1545124790146355</v>
      </c>
      <c r="T55" s="226">
        <f t="shared" si="37"/>
        <v>0.14430036839175675</v>
      </c>
      <c r="U55" s="226">
        <f t="shared" si="37"/>
        <v>0.13047622140312587</v>
      </c>
      <c r="V55" s="226">
        <f t="shared" si="37"/>
        <v>0.12341816171002407</v>
      </c>
    </row>
    <row r="56" spans="1:22" ht="17" customHeight="1" x14ac:dyDescent="0.2">
      <c r="A56" s="68" t="s">
        <v>425</v>
      </c>
      <c r="B56" s="54"/>
      <c r="C56" s="45"/>
      <c r="D56" s="45"/>
      <c r="E56" s="45"/>
      <c r="F56" s="45"/>
      <c r="G56" s="45"/>
      <c r="H56" s="49">
        <f>H54+H48</f>
        <v>42409</v>
      </c>
      <c r="I56" s="49">
        <f t="shared" ref="I56:V56" si="38">I54+I48</f>
        <v>72641</v>
      </c>
      <c r="J56" s="49">
        <f t="shared" si="38"/>
        <v>63254</v>
      </c>
      <c r="K56" s="49">
        <f t="shared" si="38"/>
        <v>76993</v>
      </c>
      <c r="L56" s="49">
        <f>L54+L48</f>
        <v>85095</v>
      </c>
      <c r="M56" s="49">
        <f t="shared" si="38"/>
        <v>87107.401944421552</v>
      </c>
      <c r="N56" s="49">
        <f t="shared" si="38"/>
        <v>103478.17358233046</v>
      </c>
      <c r="O56" s="49">
        <f t="shared" si="38"/>
        <v>153116.93642647771</v>
      </c>
      <c r="P56" s="49">
        <f t="shared" si="38"/>
        <v>201748.5191312918</v>
      </c>
      <c r="Q56" s="49">
        <f t="shared" si="38"/>
        <v>253753.20954129213</v>
      </c>
      <c r="R56" s="49">
        <f t="shared" si="38"/>
        <v>310147.14317443344</v>
      </c>
      <c r="S56" s="49">
        <f t="shared" si="38"/>
        <v>353813.07273537596</v>
      </c>
      <c r="T56" s="49">
        <f t="shared" si="38"/>
        <v>400839.43606656924</v>
      </c>
      <c r="U56" s="49">
        <f t="shared" si="38"/>
        <v>449308.88160752063</v>
      </c>
      <c r="V56" s="49">
        <f t="shared" si="38"/>
        <v>501092.41261264664</v>
      </c>
    </row>
    <row r="57" spans="1:22" ht="17" customHeight="1" x14ac:dyDescent="0.2">
      <c r="A57" s="20"/>
      <c r="B57" s="54"/>
      <c r="C57" s="45"/>
      <c r="D57" s="45"/>
      <c r="E57" s="45"/>
      <c r="F57" s="45"/>
      <c r="G57" s="45"/>
      <c r="H57" s="61"/>
      <c r="I57" s="226">
        <f>(I56/H56)-1</f>
        <v>0.71286755169893179</v>
      </c>
      <c r="J57" s="226">
        <f t="shared" ref="J57:V57" si="39">(J56/I56)-1</f>
        <v>-0.12922454261367544</v>
      </c>
      <c r="K57" s="226">
        <f t="shared" si="39"/>
        <v>0.21720365510481554</v>
      </c>
      <c r="L57" s="226">
        <f t="shared" si="39"/>
        <v>0.10523034561583522</v>
      </c>
      <c r="M57" s="226">
        <f t="shared" si="39"/>
        <v>2.3648885885440452E-2</v>
      </c>
      <c r="N57" s="226">
        <f t="shared" si="39"/>
        <v>0.18793777879351969</v>
      </c>
      <c r="O57" s="226">
        <f t="shared" si="39"/>
        <v>0.47970273465112045</v>
      </c>
      <c r="P57" s="226">
        <f t="shared" si="39"/>
        <v>0.31761073490498926</v>
      </c>
      <c r="Q57" s="226">
        <f t="shared" si="39"/>
        <v>0.25776987426687015</v>
      </c>
      <c r="R57" s="226">
        <f t="shared" si="39"/>
        <v>0.22223929200771186</v>
      </c>
      <c r="S57" s="226">
        <f t="shared" si="39"/>
        <v>0.14079101007996009</v>
      </c>
      <c r="T57" s="226">
        <f t="shared" si="39"/>
        <v>0.13291301807371392</v>
      </c>
      <c r="U57" s="226">
        <f t="shared" si="39"/>
        <v>0.12091985263870564</v>
      </c>
      <c r="V57" s="226">
        <f t="shared" si="39"/>
        <v>0.11525151877669737</v>
      </c>
    </row>
    <row r="58" spans="1:22" ht="17" customHeight="1" x14ac:dyDescent="0.2">
      <c r="A58" s="68" t="s">
        <v>535</v>
      </c>
      <c r="B58" s="54"/>
      <c r="C58" s="45"/>
      <c r="D58" s="45"/>
      <c r="E58" s="45"/>
      <c r="F58" s="45"/>
      <c r="G58" s="45"/>
      <c r="H58" s="61">
        <f>D210</f>
        <v>17663</v>
      </c>
      <c r="I58" s="61"/>
      <c r="J58" s="61"/>
      <c r="K58" s="61"/>
      <c r="L58" s="61"/>
      <c r="M58" s="220"/>
      <c r="N58" s="220"/>
      <c r="O58" s="220"/>
      <c r="P58" s="220"/>
      <c r="Q58" s="220"/>
      <c r="R58" s="220"/>
      <c r="S58" s="220"/>
      <c r="T58" s="220"/>
      <c r="U58" s="220"/>
      <c r="V58" s="220"/>
    </row>
    <row r="59" spans="1:22" ht="16" customHeight="1" x14ac:dyDescent="0.2">
      <c r="A59" s="68"/>
      <c r="B59" s="53"/>
      <c r="C59" s="21"/>
      <c r="D59" s="21"/>
      <c r="E59" s="21"/>
      <c r="F59" s="21"/>
      <c r="G59" s="21"/>
      <c r="H59" s="21"/>
      <c r="I59" s="21"/>
      <c r="J59" s="21"/>
      <c r="K59" s="21"/>
      <c r="L59" s="21"/>
      <c r="M59" s="21"/>
      <c r="N59" s="21"/>
      <c r="O59" s="21"/>
      <c r="P59" s="21"/>
      <c r="Q59" s="21"/>
      <c r="R59" s="21"/>
      <c r="S59" s="21"/>
      <c r="T59" s="21"/>
      <c r="U59" s="21"/>
      <c r="V59" s="21"/>
    </row>
    <row r="60" spans="1:22" s="38" customFormat="1" ht="20" customHeight="1" x14ac:dyDescent="0.2">
      <c r="A60" s="69" t="s">
        <v>135</v>
      </c>
      <c r="B60" s="36"/>
      <c r="C60" s="37"/>
      <c r="D60" s="37"/>
      <c r="E60" s="37"/>
      <c r="F60" s="37"/>
      <c r="G60" s="37"/>
      <c r="H60" s="37"/>
      <c r="I60" s="37"/>
      <c r="J60" s="37"/>
      <c r="K60" s="37"/>
      <c r="L60" s="37"/>
      <c r="M60" s="37"/>
      <c r="N60" s="37"/>
      <c r="O60" s="37"/>
      <c r="P60" s="37"/>
      <c r="Q60" s="37"/>
      <c r="R60" s="37"/>
      <c r="S60" s="37"/>
      <c r="T60" s="37"/>
      <c r="U60" s="37"/>
      <c r="V60" s="37"/>
    </row>
    <row r="61" spans="1:22" ht="17" customHeight="1" x14ac:dyDescent="0.2">
      <c r="A61" s="68" t="s">
        <v>136</v>
      </c>
      <c r="B61" s="53"/>
      <c r="C61" s="21"/>
      <c r="D61" s="21"/>
      <c r="E61" s="21"/>
      <c r="F61" s="21"/>
      <c r="G61" s="21"/>
      <c r="H61" s="21"/>
      <c r="I61" s="21"/>
      <c r="J61" s="21"/>
      <c r="K61" s="21"/>
      <c r="L61" s="21"/>
      <c r="M61" s="21"/>
      <c r="N61" s="21"/>
      <c r="O61" s="21"/>
      <c r="P61" s="21"/>
      <c r="Q61" s="21"/>
      <c r="R61" s="21"/>
      <c r="S61" s="21"/>
      <c r="T61" s="21"/>
      <c r="U61" s="21"/>
      <c r="V61" s="21"/>
    </row>
    <row r="62" spans="1:22" ht="17" customHeight="1" x14ac:dyDescent="0.2">
      <c r="A62" s="26" t="s">
        <v>161</v>
      </c>
      <c r="B62" s="55" t="s">
        <v>138</v>
      </c>
      <c r="C62" s="27"/>
      <c r="D62" s="27"/>
      <c r="E62" s="27"/>
      <c r="F62" s="27"/>
      <c r="G62" s="27"/>
      <c r="H62" s="27">
        <f t="shared" ref="H62:V62" si="40">H6</f>
        <v>365</v>
      </c>
      <c r="I62" s="27">
        <f t="shared" si="40"/>
        <v>365</v>
      </c>
      <c r="J62" s="27">
        <f t="shared" si="40"/>
        <v>365</v>
      </c>
      <c r="K62" s="27">
        <f t="shared" si="40"/>
        <v>366</v>
      </c>
      <c r="L62" s="27">
        <f t="shared" si="40"/>
        <v>365</v>
      </c>
      <c r="M62" s="34">
        <f t="shared" si="40"/>
        <v>365</v>
      </c>
      <c r="N62" s="34">
        <f t="shared" si="40"/>
        <v>365</v>
      </c>
      <c r="O62" s="34">
        <f t="shared" si="40"/>
        <v>366</v>
      </c>
      <c r="P62" s="34">
        <f t="shared" si="40"/>
        <v>365</v>
      </c>
      <c r="Q62" s="34">
        <f t="shared" si="40"/>
        <v>365</v>
      </c>
      <c r="R62" s="34">
        <f t="shared" si="40"/>
        <v>365</v>
      </c>
      <c r="S62" s="34">
        <f t="shared" si="40"/>
        <v>366</v>
      </c>
      <c r="T62" s="34">
        <f t="shared" si="40"/>
        <v>365</v>
      </c>
      <c r="U62" s="34">
        <f t="shared" si="40"/>
        <v>365</v>
      </c>
      <c r="V62" s="34">
        <f t="shared" si="40"/>
        <v>365</v>
      </c>
    </row>
    <row r="63" spans="1:22" ht="17" customHeight="1" x14ac:dyDescent="0.2">
      <c r="A63" s="26" t="s">
        <v>137</v>
      </c>
      <c r="B63" s="55" t="s">
        <v>138</v>
      </c>
      <c r="C63" s="27"/>
      <c r="D63" s="27"/>
      <c r="E63" s="27"/>
      <c r="F63" s="27"/>
      <c r="G63" s="27"/>
      <c r="H63" s="72">
        <f>'Balance Sheet- Historic'!C21/'Working '!H17*'Working '!H62</f>
        <v>49.988547737233155</v>
      </c>
      <c r="I63" s="72">
        <f>'Balance Sheet- Historic'!D21/'Working '!I17*'Working '!I62</f>
        <v>34.899930813354544</v>
      </c>
      <c r="J63" s="72">
        <f>'Balance Sheet- Historic'!E21/'Working '!J17*'Working '!J62</f>
        <v>30.849139605875653</v>
      </c>
      <c r="K63" s="72">
        <f>'Balance Sheet- Historic'!F21/'Working '!K17*'Working '!K62</f>
        <v>46.076555820524248</v>
      </c>
      <c r="L63" s="72">
        <f>'Balance Sheet- Historic'!G21/'Working '!L17*'Working '!L62</f>
        <v>53.797449473273112</v>
      </c>
      <c r="M63" s="75">
        <f>AVERAGE(H63:L63)</f>
        <v>43.122324690052139</v>
      </c>
      <c r="N63" s="75">
        <f>M63</f>
        <v>43.122324690052139</v>
      </c>
      <c r="O63" s="75">
        <f t="shared" ref="O63:V65" si="41">N63</f>
        <v>43.122324690052139</v>
      </c>
      <c r="P63" s="75">
        <f t="shared" si="41"/>
        <v>43.122324690052139</v>
      </c>
      <c r="Q63" s="75">
        <f t="shared" si="41"/>
        <v>43.122324690052139</v>
      </c>
      <c r="R63" s="75">
        <f t="shared" si="41"/>
        <v>43.122324690052139</v>
      </c>
      <c r="S63" s="75">
        <f t="shared" si="41"/>
        <v>43.122324690052139</v>
      </c>
      <c r="T63" s="75">
        <f t="shared" si="41"/>
        <v>43.122324690052139</v>
      </c>
      <c r="U63" s="75">
        <f t="shared" si="41"/>
        <v>43.122324690052139</v>
      </c>
      <c r="V63" s="75">
        <f t="shared" si="41"/>
        <v>43.122324690052139</v>
      </c>
    </row>
    <row r="64" spans="1:22" ht="17" customHeight="1" x14ac:dyDescent="0.2">
      <c r="A64" s="26" t="s">
        <v>139</v>
      </c>
      <c r="B64" s="55" t="s">
        <v>138</v>
      </c>
      <c r="C64" s="27"/>
      <c r="D64" s="27"/>
      <c r="E64" s="27"/>
      <c r="F64" s="27"/>
      <c r="G64" s="27"/>
      <c r="H64" s="72">
        <f>'Balance Sheet- Historic'!C20/('Working '!H25+'Working '!H27+'Working '!H29)*'Working '!H62</f>
        <v>204.44187112256512</v>
      </c>
      <c r="I64" s="72">
        <f>'Balance Sheet- Historic'!D20/('Working '!I25+'Working '!I27+'Working '!I29)*'Working '!I62</f>
        <v>116.73159337279401</v>
      </c>
      <c r="J64" s="72">
        <f>'Balance Sheet- Historic'!E20/('Working '!J25+'Working '!J27+'Working '!J29)*'Working '!J62</f>
        <v>122.18210186244538</v>
      </c>
      <c r="K64" s="72">
        <f>'Balance Sheet- Historic'!F20/('Working '!K25+'Working '!K27+'Working '!K29)*'Working '!K62</f>
        <v>107.67866562060033</v>
      </c>
      <c r="L64" s="72">
        <f>'Balance Sheet- Historic'!G20/('Working '!L25+'Working '!L27+'Working '!L29)*'Working '!L62</f>
        <v>116.40441668261482</v>
      </c>
      <c r="M64" s="75">
        <f>AVERAGE(H64:L64)</f>
        <v>133.48772973220395</v>
      </c>
      <c r="N64" s="75">
        <f>M64</f>
        <v>133.48772973220395</v>
      </c>
      <c r="O64" s="75">
        <f t="shared" si="41"/>
        <v>133.48772973220395</v>
      </c>
      <c r="P64" s="75">
        <f t="shared" si="41"/>
        <v>133.48772973220395</v>
      </c>
      <c r="Q64" s="75">
        <f t="shared" si="41"/>
        <v>133.48772973220395</v>
      </c>
      <c r="R64" s="75">
        <f t="shared" si="41"/>
        <v>133.48772973220395</v>
      </c>
      <c r="S64" s="75">
        <f t="shared" si="41"/>
        <v>133.48772973220395</v>
      </c>
      <c r="T64" s="75">
        <f t="shared" si="41"/>
        <v>133.48772973220395</v>
      </c>
      <c r="U64" s="75">
        <f t="shared" si="41"/>
        <v>133.48772973220395</v>
      </c>
      <c r="V64" s="75">
        <f t="shared" si="41"/>
        <v>133.48772973220395</v>
      </c>
    </row>
    <row r="65" spans="1:22" ht="17" customHeight="1" x14ac:dyDescent="0.2">
      <c r="A65" s="26" t="s">
        <v>140</v>
      </c>
      <c r="B65" s="55" t="s">
        <v>138</v>
      </c>
      <c r="C65" s="27"/>
      <c r="D65" s="27"/>
      <c r="E65" s="27"/>
      <c r="F65" s="27"/>
      <c r="G65" s="27"/>
      <c r="H65" s="72">
        <f>SUM('Balance Sheet- Historic'!C46:C47)/SUM('Working '!H25,'Working '!H27)*'Working '!H62</f>
        <v>110.6491340791713</v>
      </c>
      <c r="I65" s="72">
        <f>SUM('Balance Sheet- Historic'!D46:D47)/SUM('Working '!I25,'Working '!I27)*'Working '!I62</f>
        <v>80.213977424210583</v>
      </c>
      <c r="J65" s="72">
        <f>SUM('Balance Sheet- Historic'!E46:E47)/SUM('Working '!J25,'Working '!J27)*'Working '!J62</f>
        <v>60.617039166317291</v>
      </c>
      <c r="K65" s="72">
        <f>SUM('Balance Sheet- Historic'!F46:F47)/SUM('Working '!K25,'Working '!K27)*'Working '!K62</f>
        <v>74.081843015066795</v>
      </c>
      <c r="L65" s="72">
        <f>SUM('Balance Sheet- Historic'!G46:G47)/SUM('Working '!L25,'Working '!L27)*'Working '!L62</f>
        <v>81.974838184066726</v>
      </c>
      <c r="M65" s="75">
        <f>AVERAGE(H65:L65)</f>
        <v>81.50736637376653</v>
      </c>
      <c r="N65" s="75">
        <f>M65</f>
        <v>81.50736637376653</v>
      </c>
      <c r="O65" s="75">
        <f t="shared" si="41"/>
        <v>81.50736637376653</v>
      </c>
      <c r="P65" s="75">
        <f t="shared" si="41"/>
        <v>81.50736637376653</v>
      </c>
      <c r="Q65" s="75">
        <f t="shared" si="41"/>
        <v>81.50736637376653</v>
      </c>
      <c r="R65" s="75">
        <f t="shared" si="41"/>
        <v>81.50736637376653</v>
      </c>
      <c r="S65" s="75">
        <f t="shared" si="41"/>
        <v>81.50736637376653</v>
      </c>
      <c r="T65" s="75">
        <f t="shared" si="41"/>
        <v>81.50736637376653</v>
      </c>
      <c r="U65" s="75">
        <f t="shared" si="41"/>
        <v>81.50736637376653</v>
      </c>
      <c r="V65" s="75">
        <f t="shared" si="41"/>
        <v>81.50736637376653</v>
      </c>
    </row>
    <row r="66" spans="1:22" x14ac:dyDescent="0.2">
      <c r="A66" s="68" t="s">
        <v>162</v>
      </c>
      <c r="B66"/>
      <c r="C66"/>
      <c r="H66" s="72"/>
      <c r="I66" s="72"/>
      <c r="J66" s="72"/>
      <c r="K66" s="72"/>
      <c r="L66" s="72"/>
    </row>
    <row r="67" spans="1:22" x14ac:dyDescent="0.2">
      <c r="A67" s="70" t="s">
        <v>163</v>
      </c>
      <c r="B67" s="55" t="s">
        <v>118</v>
      </c>
      <c r="C67" s="27"/>
      <c r="D67" s="27"/>
      <c r="E67" s="27"/>
      <c r="F67" s="27"/>
      <c r="G67" s="27"/>
      <c r="H67" s="76">
        <v>0</v>
      </c>
      <c r="I67" s="76">
        <f>H70</f>
        <v>139499</v>
      </c>
      <c r="J67" s="76">
        <f t="shared" ref="J67:V67" si="42">I70</f>
        <v>125486</v>
      </c>
      <c r="K67" s="76">
        <f t="shared" si="42"/>
        <v>140732</v>
      </c>
      <c r="L67" s="76">
        <f t="shared" si="42"/>
        <v>231384</v>
      </c>
      <c r="M67" s="77">
        <f t="shared" si="42"/>
        <v>286063</v>
      </c>
      <c r="N67" s="77">
        <f t="shared" si="42"/>
        <v>245349.93399853565</v>
      </c>
      <c r="O67" s="77">
        <f t="shared" si="42"/>
        <v>262524.42937843315</v>
      </c>
      <c r="P67" s="77">
        <f t="shared" si="42"/>
        <v>278824.61423533177</v>
      </c>
      <c r="Q67" s="77">
        <f t="shared" si="42"/>
        <v>297761.77091175335</v>
      </c>
      <c r="R67" s="77">
        <f t="shared" si="42"/>
        <v>315627.47716645862</v>
      </c>
      <c r="S67" s="77">
        <f t="shared" si="42"/>
        <v>334565.12579644617</v>
      </c>
      <c r="T67" s="77">
        <f t="shared" si="42"/>
        <v>352001.81916958059</v>
      </c>
      <c r="U67" s="77">
        <f t="shared" si="42"/>
        <v>372379.34913958941</v>
      </c>
      <c r="V67" s="77">
        <f t="shared" si="42"/>
        <v>390998.31659656885</v>
      </c>
    </row>
    <row r="68" spans="1:22" x14ac:dyDescent="0.2">
      <c r="A68" s="26" t="s">
        <v>164</v>
      </c>
      <c r="B68" s="55" t="s">
        <v>118</v>
      </c>
      <c r="C68" s="27"/>
      <c r="D68" s="27"/>
      <c r="E68" s="27"/>
      <c r="F68" s="27"/>
      <c r="G68" s="27"/>
      <c r="H68" s="76">
        <f>H17</f>
        <v>1018576</v>
      </c>
      <c r="I68" s="76">
        <f t="shared" ref="I68:K68" si="43">I17</f>
        <v>1312392</v>
      </c>
      <c r="J68" s="76">
        <f t="shared" si="43"/>
        <v>1665109</v>
      </c>
      <c r="K68" s="76">
        <f t="shared" si="43"/>
        <v>1837953</v>
      </c>
      <c r="L68" s="76">
        <f>L17</f>
        <v>1940854</v>
      </c>
      <c r="M68" s="77">
        <f t="shared" ref="M68:V68" si="44">M17</f>
        <v>2076713.78</v>
      </c>
      <c r="N68" s="77">
        <f t="shared" si="44"/>
        <v>2222083.7446000003</v>
      </c>
      <c r="O68" s="77">
        <f t="shared" si="44"/>
        <v>2366519.1879990003</v>
      </c>
      <c r="P68" s="77">
        <f t="shared" si="44"/>
        <v>2520342.9352189354</v>
      </c>
      <c r="Q68" s="77">
        <f t="shared" si="44"/>
        <v>2671563.5113320719</v>
      </c>
      <c r="R68" s="77">
        <f t="shared" si="44"/>
        <v>2831857.3220119965</v>
      </c>
      <c r="S68" s="77">
        <f t="shared" si="44"/>
        <v>2987609.474722656</v>
      </c>
      <c r="T68" s="77">
        <f t="shared" si="44"/>
        <v>3151927.9958324018</v>
      </c>
      <c r="U68" s="77">
        <f t="shared" si="44"/>
        <v>3309524.395624022</v>
      </c>
      <c r="V68" s="77">
        <f t="shared" si="44"/>
        <v>3475000.6154052233</v>
      </c>
    </row>
    <row r="69" spans="1:22" x14ac:dyDescent="0.2">
      <c r="A69" s="26" t="s">
        <v>165</v>
      </c>
      <c r="B69" s="55" t="s">
        <v>118</v>
      </c>
      <c r="C69" s="27"/>
      <c r="D69" s="27"/>
      <c r="E69" s="27"/>
      <c r="F69" s="27"/>
      <c r="G69" s="27"/>
      <c r="H69" s="78">
        <f>-(H67+H68-H70)</f>
        <v>-879077</v>
      </c>
      <c r="I69" s="78">
        <f t="shared" ref="I69:V69" si="45">-(I67+I68-I70)</f>
        <v>-1326405</v>
      </c>
      <c r="J69" s="78">
        <f t="shared" si="45"/>
        <v>-1649863</v>
      </c>
      <c r="K69" s="78">
        <f t="shared" si="45"/>
        <v>-1747301</v>
      </c>
      <c r="L69" s="78">
        <f t="shared" si="45"/>
        <v>-1886175</v>
      </c>
      <c r="M69" s="79">
        <f t="shared" si="45"/>
        <v>-2117426.8460014644</v>
      </c>
      <c r="N69" s="79">
        <f t="shared" si="45"/>
        <v>-2204909.249220103</v>
      </c>
      <c r="O69" s="79">
        <f t="shared" si="45"/>
        <v>-2350219.0031421017</v>
      </c>
      <c r="P69" s="79">
        <f t="shared" si="45"/>
        <v>-2501405.778542514</v>
      </c>
      <c r="Q69" s="79">
        <f t="shared" si="45"/>
        <v>-2653697.8050773665</v>
      </c>
      <c r="R69" s="79">
        <f t="shared" si="45"/>
        <v>-2812919.6733820089</v>
      </c>
      <c r="S69" s="79">
        <f t="shared" si="45"/>
        <v>-2970172.7813495216</v>
      </c>
      <c r="T69" s="79">
        <f t="shared" si="45"/>
        <v>-3131550.4658623929</v>
      </c>
      <c r="U69" s="79">
        <f t="shared" si="45"/>
        <v>-3290905.4281670423</v>
      </c>
      <c r="V69" s="79">
        <f t="shared" si="45"/>
        <v>-3455450.6995753949</v>
      </c>
    </row>
    <row r="70" spans="1:22" x14ac:dyDescent="0.2">
      <c r="A70" s="70" t="s">
        <v>166</v>
      </c>
      <c r="B70" s="55" t="s">
        <v>118</v>
      </c>
      <c r="C70" s="27"/>
      <c r="D70" s="27"/>
      <c r="E70" s="27"/>
      <c r="F70" s="27"/>
      <c r="G70" s="27"/>
      <c r="H70" s="76">
        <f>'Balance Sheet- Historic'!C21</f>
        <v>139499</v>
      </c>
      <c r="I70" s="76">
        <f>'Balance Sheet- Historic'!D21</f>
        <v>125486</v>
      </c>
      <c r="J70" s="76">
        <f>'Balance Sheet- Historic'!E21</f>
        <v>140732</v>
      </c>
      <c r="K70" s="76">
        <f>'Balance Sheet- Historic'!F21</f>
        <v>231384</v>
      </c>
      <c r="L70" s="76">
        <f>'Balance Sheet- Historic'!G21</f>
        <v>286063</v>
      </c>
      <c r="M70" s="77">
        <f>M68*M63/M62</f>
        <v>245349.93399853565</v>
      </c>
      <c r="N70" s="77">
        <f t="shared" ref="N70:V70" si="46">N68*N63/N62</f>
        <v>262524.42937843315</v>
      </c>
      <c r="O70" s="77">
        <f t="shared" si="46"/>
        <v>278824.61423533177</v>
      </c>
      <c r="P70" s="77">
        <f t="shared" si="46"/>
        <v>297761.77091175335</v>
      </c>
      <c r="Q70" s="77">
        <f t="shared" si="46"/>
        <v>315627.47716645862</v>
      </c>
      <c r="R70" s="77">
        <f t="shared" si="46"/>
        <v>334565.12579644617</v>
      </c>
      <c r="S70" s="77">
        <f t="shared" si="46"/>
        <v>352001.81916958059</v>
      </c>
      <c r="T70" s="77">
        <f t="shared" si="46"/>
        <v>372379.34913958941</v>
      </c>
      <c r="U70" s="77">
        <f t="shared" si="46"/>
        <v>390998.31659656885</v>
      </c>
      <c r="V70" s="77">
        <f t="shared" si="46"/>
        <v>410548.23242639739</v>
      </c>
    </row>
    <row r="71" spans="1:22" x14ac:dyDescent="0.2">
      <c r="A71" s="70"/>
      <c r="B71" s="55"/>
      <c r="C71" s="27"/>
      <c r="D71" s="27"/>
      <c r="E71" s="27"/>
      <c r="F71" s="27"/>
      <c r="H71" s="80"/>
      <c r="I71" s="33"/>
      <c r="J71" s="33"/>
      <c r="K71" s="33"/>
      <c r="L71" s="33"/>
      <c r="M71" s="34"/>
      <c r="N71" s="34"/>
      <c r="O71" s="34"/>
      <c r="P71" s="34"/>
      <c r="Q71" s="34"/>
      <c r="R71" s="34"/>
      <c r="S71" s="34"/>
      <c r="T71" s="34"/>
      <c r="U71" s="34"/>
      <c r="V71" s="34"/>
    </row>
    <row r="72" spans="1:22" x14ac:dyDescent="0.2">
      <c r="A72" s="68" t="s">
        <v>169</v>
      </c>
      <c r="B72"/>
      <c r="C72"/>
    </row>
    <row r="73" spans="1:22" x14ac:dyDescent="0.2">
      <c r="A73" s="70" t="s">
        <v>163</v>
      </c>
      <c r="B73" s="55" t="s">
        <v>118</v>
      </c>
      <c r="C73" s="27"/>
      <c r="D73" s="27"/>
      <c r="E73" s="27"/>
      <c r="F73" s="27"/>
      <c r="G73" s="27"/>
      <c r="H73" s="76">
        <v>0</v>
      </c>
      <c r="I73" s="76">
        <f>H76</f>
        <v>113668</v>
      </c>
      <c r="J73" s="76">
        <f t="shared" ref="J73:V73" si="47">I76</f>
        <v>93581</v>
      </c>
      <c r="K73" s="76">
        <f t="shared" si="47"/>
        <v>142781</v>
      </c>
      <c r="L73" s="76">
        <f t="shared" si="47"/>
        <v>136874</v>
      </c>
      <c r="M73" s="77">
        <f t="shared" si="47"/>
        <v>161643</v>
      </c>
      <c r="N73" s="77">
        <f t="shared" si="47"/>
        <v>180220.79737319535</v>
      </c>
      <c r="O73" s="77">
        <f t="shared" si="47"/>
        <v>189079.12089639143</v>
      </c>
      <c r="P73" s="77">
        <f t="shared" si="47"/>
        <v>191042.56203977452</v>
      </c>
      <c r="Q73" s="77">
        <f t="shared" si="47"/>
        <v>196082.96518594321</v>
      </c>
      <c r="R73" s="77">
        <f t="shared" si="47"/>
        <v>199773.50186753366</v>
      </c>
      <c r="S73" s="77">
        <f t="shared" si="47"/>
        <v>203543.36058437926</v>
      </c>
      <c r="T73" s="77">
        <f t="shared" si="47"/>
        <v>214151.52889898862</v>
      </c>
      <c r="U73" s="77">
        <f t="shared" si="47"/>
        <v>226548.84891442864</v>
      </c>
      <c r="V73" s="77">
        <f t="shared" si="47"/>
        <v>237876.29136015012</v>
      </c>
    </row>
    <row r="74" spans="1:22" x14ac:dyDescent="0.2">
      <c r="A74" s="26" t="s">
        <v>167</v>
      </c>
      <c r="B74" s="55" t="s">
        <v>118</v>
      </c>
      <c r="C74" s="27"/>
      <c r="D74" s="27"/>
      <c r="E74" s="27"/>
      <c r="F74" s="27"/>
      <c r="G74" s="27"/>
      <c r="H74" s="76">
        <f>H76-H73-H75</f>
        <v>316605</v>
      </c>
      <c r="I74" s="76">
        <f t="shared" ref="I74:V74" si="48">I76-I73-I75</f>
        <v>272525</v>
      </c>
      <c r="J74" s="76">
        <f t="shared" si="48"/>
        <v>475736</v>
      </c>
      <c r="K74" s="76">
        <f t="shared" si="48"/>
        <v>459328</v>
      </c>
      <c r="L74" s="76">
        <f t="shared" si="48"/>
        <v>531620</v>
      </c>
      <c r="M74" s="77">
        <f t="shared" si="48"/>
        <v>511361.59984838811</v>
      </c>
      <c r="N74" s="77">
        <f t="shared" si="48"/>
        <v>525863.73866985319</v>
      </c>
      <c r="O74" s="77">
        <f t="shared" si="48"/>
        <v>525768.7215750037</v>
      </c>
      <c r="P74" s="77">
        <f t="shared" si="48"/>
        <v>541196.66587121319</v>
      </c>
      <c r="Q74" s="77">
        <f t="shared" si="48"/>
        <v>549937.95828305674</v>
      </c>
      <c r="R74" s="77">
        <f t="shared" si="48"/>
        <v>560325.33211010648</v>
      </c>
      <c r="S74" s="77">
        <f t="shared" si="48"/>
        <v>597774.19274449942</v>
      </c>
      <c r="T74" s="77">
        <f t="shared" si="48"/>
        <v>631857.47578897397</v>
      </c>
      <c r="U74" s="77">
        <f t="shared" si="48"/>
        <v>661760.60600793222</v>
      </c>
      <c r="V74" s="77">
        <f t="shared" si="48"/>
        <v>694848.63630832871</v>
      </c>
    </row>
    <row r="75" spans="1:22" x14ac:dyDescent="0.2">
      <c r="A75" s="26" t="s">
        <v>168</v>
      </c>
      <c r="B75" s="55" t="s">
        <v>118</v>
      </c>
      <c r="C75" s="27"/>
      <c r="D75" s="27"/>
      <c r="E75" s="27"/>
      <c r="F75" s="27"/>
      <c r="G75" s="27"/>
      <c r="H75" s="78">
        <f>-H33</f>
        <v>-202937</v>
      </c>
      <c r="I75" s="78">
        <f t="shared" ref="I75:V75" si="49">-I33</f>
        <v>-292612</v>
      </c>
      <c r="J75" s="78">
        <f t="shared" si="49"/>
        <v>-426536</v>
      </c>
      <c r="K75" s="78">
        <f t="shared" si="49"/>
        <v>-465235</v>
      </c>
      <c r="L75" s="78">
        <f t="shared" si="49"/>
        <v>-506851</v>
      </c>
      <c r="M75" s="79">
        <f t="shared" si="49"/>
        <v>-492783.80247519276</v>
      </c>
      <c r="N75" s="79">
        <f t="shared" si="49"/>
        <v>-517005.41514665715</v>
      </c>
      <c r="O75" s="79">
        <f t="shared" si="49"/>
        <v>-523805.2804316206</v>
      </c>
      <c r="P75" s="79">
        <f t="shared" si="49"/>
        <v>-536156.26272504451</v>
      </c>
      <c r="Q75" s="79">
        <f t="shared" si="49"/>
        <v>-546247.42160146625</v>
      </c>
      <c r="R75" s="79">
        <f t="shared" si="49"/>
        <v>-556555.47339326085</v>
      </c>
      <c r="S75" s="79">
        <f t="shared" si="49"/>
        <v>-587166.02442989009</v>
      </c>
      <c r="T75" s="79">
        <f t="shared" si="49"/>
        <v>-619460.15577353397</v>
      </c>
      <c r="U75" s="79">
        <f t="shared" si="49"/>
        <v>-650433.16356221074</v>
      </c>
      <c r="V75" s="79">
        <f t="shared" si="49"/>
        <v>-682954.82174032123</v>
      </c>
    </row>
    <row r="76" spans="1:22" x14ac:dyDescent="0.2">
      <c r="A76" s="70" t="s">
        <v>166</v>
      </c>
      <c r="B76" s="55" t="s">
        <v>118</v>
      </c>
      <c r="C76" s="27"/>
      <c r="D76" s="27"/>
      <c r="E76" s="27"/>
      <c r="F76" s="27"/>
      <c r="G76" s="27"/>
      <c r="H76" s="76">
        <f>'Balance Sheet- Historic'!C20</f>
        <v>113668</v>
      </c>
      <c r="I76" s="76">
        <f>'Balance Sheet- Historic'!D20</f>
        <v>93581</v>
      </c>
      <c r="J76" s="76">
        <f>'Balance Sheet- Historic'!E20</f>
        <v>142781</v>
      </c>
      <c r="K76" s="76">
        <f>'Balance Sheet- Historic'!F20</f>
        <v>136874</v>
      </c>
      <c r="L76" s="76">
        <f>'Balance Sheet- Historic'!G20</f>
        <v>161643</v>
      </c>
      <c r="M76" s="77">
        <f>M64/M62*M33</f>
        <v>180220.79737319535</v>
      </c>
      <c r="N76" s="77">
        <f t="shared" ref="N76:V76" si="50">N64/N62*N33</f>
        <v>189079.12089639143</v>
      </c>
      <c r="O76" s="77">
        <f t="shared" si="50"/>
        <v>191042.56203977452</v>
      </c>
      <c r="P76" s="77">
        <f t="shared" si="50"/>
        <v>196082.96518594321</v>
      </c>
      <c r="Q76" s="77">
        <f t="shared" si="50"/>
        <v>199773.50186753366</v>
      </c>
      <c r="R76" s="77">
        <f t="shared" si="50"/>
        <v>203543.36058437926</v>
      </c>
      <c r="S76" s="77">
        <f t="shared" si="50"/>
        <v>214151.52889898862</v>
      </c>
      <c r="T76" s="77">
        <f t="shared" si="50"/>
        <v>226548.84891442864</v>
      </c>
      <c r="U76" s="77">
        <f t="shared" si="50"/>
        <v>237876.29136015012</v>
      </c>
      <c r="V76" s="77">
        <f t="shared" si="50"/>
        <v>249770.1059281576</v>
      </c>
    </row>
    <row r="77" spans="1:22" x14ac:dyDescent="0.2">
      <c r="A77" s="70"/>
      <c r="B77" s="55"/>
      <c r="C77" s="27"/>
      <c r="D77" s="27"/>
      <c r="E77" s="27"/>
      <c r="F77" s="27"/>
      <c r="G77" s="27"/>
      <c r="H77"/>
      <c r="I77"/>
      <c r="J77"/>
      <c r="K77"/>
      <c r="L77"/>
      <c r="M77"/>
      <c r="N77"/>
      <c r="O77"/>
      <c r="P77"/>
      <c r="Q77"/>
      <c r="R77"/>
      <c r="S77"/>
      <c r="T77"/>
      <c r="U77"/>
      <c r="V77"/>
    </row>
    <row r="78" spans="1:22" ht="18" customHeight="1" x14ac:dyDescent="0.2">
      <c r="A78" s="68" t="s">
        <v>170</v>
      </c>
      <c r="B78"/>
      <c r="C78"/>
      <c r="E78"/>
      <c r="F78"/>
      <c r="G78"/>
      <c r="H78"/>
      <c r="I78"/>
      <c r="J78"/>
      <c r="K78"/>
    </row>
    <row r="79" spans="1:22" x14ac:dyDescent="0.2">
      <c r="A79" s="70" t="s">
        <v>163</v>
      </c>
      <c r="B79" s="55" t="s">
        <v>118</v>
      </c>
      <c r="C79" s="27"/>
      <c r="D79" s="27"/>
      <c r="E79" s="27"/>
      <c r="F79" s="27"/>
      <c r="G79" s="27"/>
      <c r="H79" s="76">
        <v>0</v>
      </c>
      <c r="I79" s="76">
        <f>H82</f>
        <v>61808</v>
      </c>
      <c r="J79" s="76">
        <f t="shared" ref="J79:L79" si="51">I82</f>
        <v>63800</v>
      </c>
      <c r="K79" s="76">
        <f t="shared" si="51"/>
        <v>71698</v>
      </c>
      <c r="L79" s="76">
        <f t="shared" si="51"/>
        <v>94845</v>
      </c>
      <c r="M79" s="77">
        <f>L82</f>
        <v>114955</v>
      </c>
      <c r="N79" s="77">
        <f t="shared" ref="N79:V79" si="52">M82</f>
        <v>110042.49296274887</v>
      </c>
      <c r="O79" s="77">
        <f t="shared" si="52"/>
        <v>115451.36928652013</v>
      </c>
      <c r="P79" s="77">
        <f t="shared" si="52"/>
        <v>116650.24289796071</v>
      </c>
      <c r="Q79" s="77">
        <f t="shared" si="52"/>
        <v>119727.90394388938</v>
      </c>
      <c r="R79" s="77">
        <f t="shared" si="52"/>
        <v>121981.33896766033</v>
      </c>
      <c r="S79" s="77">
        <f t="shared" si="52"/>
        <v>124283.20788271117</v>
      </c>
      <c r="T79" s="77">
        <f t="shared" si="52"/>
        <v>130760.53627168032</v>
      </c>
      <c r="U79" s="77">
        <f t="shared" si="52"/>
        <v>138330.31745365457</v>
      </c>
      <c r="V79" s="77">
        <f t="shared" si="52"/>
        <v>145246.83332633731</v>
      </c>
    </row>
    <row r="80" spans="1:22" x14ac:dyDescent="0.2">
      <c r="A80" s="26" t="s">
        <v>177</v>
      </c>
      <c r="B80" s="55" t="s">
        <v>118</v>
      </c>
      <c r="C80" s="27"/>
      <c r="D80" s="27"/>
      <c r="E80" s="27"/>
      <c r="F80" s="27"/>
      <c r="G80" s="27"/>
      <c r="H80" s="76">
        <f>H33</f>
        <v>202937</v>
      </c>
      <c r="I80" s="76">
        <f t="shared" ref="I80:V80" si="53">I33</f>
        <v>292612</v>
      </c>
      <c r="J80" s="76">
        <f t="shared" si="53"/>
        <v>426536</v>
      </c>
      <c r="K80" s="76">
        <f t="shared" si="53"/>
        <v>465235</v>
      </c>
      <c r="L80" s="76">
        <f t="shared" si="53"/>
        <v>506851</v>
      </c>
      <c r="M80" s="77">
        <f>M33</f>
        <v>492783.80247519276</v>
      </c>
      <c r="N80" s="77">
        <f t="shared" si="53"/>
        <v>517005.41514665715</v>
      </c>
      <c r="O80" s="77">
        <f t="shared" si="53"/>
        <v>523805.2804316206</v>
      </c>
      <c r="P80" s="77">
        <f t="shared" si="53"/>
        <v>536156.26272504451</v>
      </c>
      <c r="Q80" s="77">
        <f t="shared" si="53"/>
        <v>546247.42160146625</v>
      </c>
      <c r="R80" s="77">
        <f t="shared" si="53"/>
        <v>556555.47339326085</v>
      </c>
      <c r="S80" s="77">
        <f t="shared" si="53"/>
        <v>587166.02442989009</v>
      </c>
      <c r="T80" s="77">
        <f t="shared" si="53"/>
        <v>619460.15577353397</v>
      </c>
      <c r="U80" s="77">
        <f t="shared" si="53"/>
        <v>650433.16356221074</v>
      </c>
      <c r="V80" s="77">
        <f t="shared" si="53"/>
        <v>682954.82174032123</v>
      </c>
    </row>
    <row r="81" spans="1:22" x14ac:dyDescent="0.2">
      <c r="A81" s="26" t="s">
        <v>171</v>
      </c>
      <c r="B81" s="55" t="s">
        <v>118</v>
      </c>
      <c r="C81" s="27"/>
      <c r="D81" s="27"/>
      <c r="E81" s="27"/>
      <c r="F81" s="27"/>
      <c r="G81" s="27"/>
      <c r="H81" s="78">
        <f>-(H79+H80-H82)</f>
        <v>-141129</v>
      </c>
      <c r="I81" s="78">
        <f t="shared" ref="I81:V81" si="54">-(I79+I80-I82)</f>
        <v>-290620</v>
      </c>
      <c r="J81" s="78">
        <f t="shared" si="54"/>
        <v>-418638</v>
      </c>
      <c r="K81" s="78">
        <f t="shared" si="54"/>
        <v>-442088</v>
      </c>
      <c r="L81" s="78">
        <f t="shared" si="54"/>
        <v>-486741</v>
      </c>
      <c r="M81" s="79">
        <f t="shared" si="54"/>
        <v>-497696.30951244396</v>
      </c>
      <c r="N81" s="79">
        <f t="shared" si="54"/>
        <v>-511596.53882288589</v>
      </c>
      <c r="O81" s="79">
        <f t="shared" si="54"/>
        <v>-522606.40682018001</v>
      </c>
      <c r="P81" s="79">
        <f t="shared" si="54"/>
        <v>-533078.60167911579</v>
      </c>
      <c r="Q81" s="79">
        <f t="shared" si="54"/>
        <v>-543993.98657769535</v>
      </c>
      <c r="R81" s="79">
        <f t="shared" si="54"/>
        <v>-554253.60447820998</v>
      </c>
      <c r="S81" s="79">
        <f t="shared" si="54"/>
        <v>-580688.69604092091</v>
      </c>
      <c r="T81" s="79">
        <f t="shared" si="54"/>
        <v>-611890.37459155975</v>
      </c>
      <c r="U81" s="79">
        <f t="shared" si="54"/>
        <v>-643516.64768952806</v>
      </c>
      <c r="V81" s="79">
        <f t="shared" si="54"/>
        <v>-675692.48007400427</v>
      </c>
    </row>
    <row r="82" spans="1:22" x14ac:dyDescent="0.2">
      <c r="A82" s="70" t="s">
        <v>166</v>
      </c>
      <c r="B82" s="55" t="s">
        <v>118</v>
      </c>
      <c r="C82" s="27"/>
      <c r="D82" s="27"/>
      <c r="E82" s="27"/>
      <c r="F82" s="27"/>
      <c r="G82" s="27"/>
      <c r="H82" s="76">
        <f>SUM('Balance Sheet- Historic'!C46:C47)</f>
        <v>61808</v>
      </c>
      <c r="I82" s="76">
        <f>SUM('Balance Sheet- Historic'!D46:D47)</f>
        <v>63800</v>
      </c>
      <c r="J82" s="76">
        <f>SUM('Balance Sheet- Historic'!E46:E47)</f>
        <v>71698</v>
      </c>
      <c r="K82" s="76">
        <f>SUM('Balance Sheet- Historic'!F46:F47)</f>
        <v>94845</v>
      </c>
      <c r="L82" s="76">
        <f>SUM('Balance Sheet- Historic'!G46:G47)</f>
        <v>114955</v>
      </c>
      <c r="M82" s="77">
        <f>M33/M62*M65</f>
        <v>110042.49296274887</v>
      </c>
      <c r="N82" s="77">
        <f t="shared" ref="N82:V82" si="55">N33/N62*N65</f>
        <v>115451.36928652013</v>
      </c>
      <c r="O82" s="77">
        <f t="shared" si="55"/>
        <v>116650.24289796071</v>
      </c>
      <c r="P82" s="77">
        <f t="shared" si="55"/>
        <v>119727.90394388938</v>
      </c>
      <c r="Q82" s="77">
        <f t="shared" si="55"/>
        <v>121981.33896766033</v>
      </c>
      <c r="R82" s="77">
        <f t="shared" si="55"/>
        <v>124283.20788271117</v>
      </c>
      <c r="S82" s="77">
        <f t="shared" si="55"/>
        <v>130760.53627168032</v>
      </c>
      <c r="T82" s="77">
        <f t="shared" si="55"/>
        <v>138330.31745365457</v>
      </c>
      <c r="U82" s="77">
        <f t="shared" si="55"/>
        <v>145246.83332633731</v>
      </c>
      <c r="V82" s="77">
        <f t="shared" si="55"/>
        <v>152509.17499265418</v>
      </c>
    </row>
    <row r="83" spans="1:22" x14ac:dyDescent="0.2">
      <c r="A83" s="70"/>
      <c r="B83" s="55"/>
      <c r="C83" s="27"/>
      <c r="D83" s="27"/>
      <c r="E83" s="27"/>
      <c r="F83" s="27"/>
      <c r="G83" s="27"/>
      <c r="H83" s="33"/>
      <c r="I83" s="33"/>
      <c r="J83" s="33"/>
      <c r="K83" s="33"/>
      <c r="L83" s="33"/>
      <c r="M83" s="33"/>
      <c r="N83" s="33"/>
      <c r="O83" s="33"/>
      <c r="P83" s="33"/>
      <c r="Q83" s="33"/>
      <c r="R83" s="33"/>
      <c r="S83" s="33"/>
      <c r="T83" s="33"/>
      <c r="U83" s="33"/>
      <c r="V83" s="33"/>
    </row>
    <row r="84" spans="1:22" x14ac:dyDescent="0.2">
      <c r="A84" s="68" t="s">
        <v>172</v>
      </c>
      <c r="B84"/>
      <c r="C84"/>
    </row>
    <row r="85" spans="1:22" x14ac:dyDescent="0.2">
      <c r="A85" s="70" t="s">
        <v>173</v>
      </c>
      <c r="B85" s="55" t="s">
        <v>118</v>
      </c>
      <c r="C85" s="27"/>
      <c r="D85" s="27"/>
      <c r="E85" s="27"/>
      <c r="F85" s="27"/>
      <c r="G85" s="27"/>
      <c r="H85" s="76">
        <f>H70</f>
        <v>139499</v>
      </c>
      <c r="I85" s="76">
        <f t="shared" ref="I85:V85" si="56">I70</f>
        <v>125486</v>
      </c>
      <c r="J85" s="76">
        <f t="shared" si="56"/>
        <v>140732</v>
      </c>
      <c r="K85" s="76">
        <f t="shared" si="56"/>
        <v>231384</v>
      </c>
      <c r="L85" s="76">
        <f t="shared" si="56"/>
        <v>286063</v>
      </c>
      <c r="M85" s="77">
        <f t="shared" si="56"/>
        <v>245349.93399853565</v>
      </c>
      <c r="N85" s="77">
        <f t="shared" si="56"/>
        <v>262524.42937843315</v>
      </c>
      <c r="O85" s="77">
        <f t="shared" si="56"/>
        <v>278824.61423533177</v>
      </c>
      <c r="P85" s="77">
        <f t="shared" si="56"/>
        <v>297761.77091175335</v>
      </c>
      <c r="Q85" s="77">
        <f t="shared" si="56"/>
        <v>315627.47716645862</v>
      </c>
      <c r="R85" s="77">
        <f t="shared" si="56"/>
        <v>334565.12579644617</v>
      </c>
      <c r="S85" s="77">
        <f t="shared" si="56"/>
        <v>352001.81916958059</v>
      </c>
      <c r="T85" s="77">
        <f t="shared" si="56"/>
        <v>372379.34913958941</v>
      </c>
      <c r="U85" s="77">
        <f t="shared" si="56"/>
        <v>390998.31659656885</v>
      </c>
      <c r="V85" s="77">
        <f t="shared" si="56"/>
        <v>410548.23242639739</v>
      </c>
    </row>
    <row r="86" spans="1:22" x14ac:dyDescent="0.2">
      <c r="A86" s="70" t="s">
        <v>169</v>
      </c>
      <c r="B86" s="55" t="s">
        <v>118</v>
      </c>
      <c r="C86" s="27"/>
      <c r="D86" s="27"/>
      <c r="E86" s="27"/>
      <c r="F86" s="27"/>
      <c r="G86" s="27"/>
      <c r="H86" s="76">
        <f>H76</f>
        <v>113668</v>
      </c>
      <c r="I86" s="76">
        <f t="shared" ref="I86:V86" si="57">I76</f>
        <v>93581</v>
      </c>
      <c r="J86" s="76">
        <f t="shared" si="57"/>
        <v>142781</v>
      </c>
      <c r="K86" s="76">
        <f t="shared" si="57"/>
        <v>136874</v>
      </c>
      <c r="L86" s="76">
        <f t="shared" si="57"/>
        <v>161643</v>
      </c>
      <c r="M86" s="77">
        <f t="shared" si="57"/>
        <v>180220.79737319535</v>
      </c>
      <c r="N86" s="77">
        <f t="shared" si="57"/>
        <v>189079.12089639143</v>
      </c>
      <c r="O86" s="77">
        <f t="shared" si="57"/>
        <v>191042.56203977452</v>
      </c>
      <c r="P86" s="77">
        <f t="shared" si="57"/>
        <v>196082.96518594321</v>
      </c>
      <c r="Q86" s="77">
        <f t="shared" si="57"/>
        <v>199773.50186753366</v>
      </c>
      <c r="R86" s="77">
        <f t="shared" si="57"/>
        <v>203543.36058437926</v>
      </c>
      <c r="S86" s="77">
        <f t="shared" si="57"/>
        <v>214151.52889898862</v>
      </c>
      <c r="T86" s="77">
        <f t="shared" si="57"/>
        <v>226548.84891442864</v>
      </c>
      <c r="U86" s="77">
        <f t="shared" si="57"/>
        <v>237876.29136015012</v>
      </c>
      <c r="V86" s="77">
        <f t="shared" si="57"/>
        <v>249770.1059281576</v>
      </c>
    </row>
    <row r="87" spans="1:22" x14ac:dyDescent="0.2">
      <c r="A87" s="70" t="s">
        <v>174</v>
      </c>
      <c r="B87" s="55" t="s">
        <v>118</v>
      </c>
      <c r="C87" s="27"/>
      <c r="D87" s="27"/>
      <c r="E87" s="27"/>
      <c r="F87" s="27"/>
      <c r="G87" s="27"/>
      <c r="H87" s="78">
        <f>-H82</f>
        <v>-61808</v>
      </c>
      <c r="I87" s="78">
        <f t="shared" ref="I87:V87" si="58">-I82</f>
        <v>-63800</v>
      </c>
      <c r="J87" s="78">
        <f t="shared" si="58"/>
        <v>-71698</v>
      </c>
      <c r="K87" s="78">
        <f t="shared" si="58"/>
        <v>-94845</v>
      </c>
      <c r="L87" s="78">
        <f t="shared" si="58"/>
        <v>-114955</v>
      </c>
      <c r="M87" s="79">
        <f t="shared" si="58"/>
        <v>-110042.49296274887</v>
      </c>
      <c r="N87" s="79">
        <f t="shared" si="58"/>
        <v>-115451.36928652013</v>
      </c>
      <c r="O87" s="79">
        <f t="shared" si="58"/>
        <v>-116650.24289796071</v>
      </c>
      <c r="P87" s="79">
        <f t="shared" si="58"/>
        <v>-119727.90394388938</v>
      </c>
      <c r="Q87" s="79">
        <f t="shared" si="58"/>
        <v>-121981.33896766033</v>
      </c>
      <c r="R87" s="79">
        <f t="shared" si="58"/>
        <v>-124283.20788271117</v>
      </c>
      <c r="S87" s="79">
        <f t="shared" si="58"/>
        <v>-130760.53627168032</v>
      </c>
      <c r="T87" s="79">
        <f t="shared" si="58"/>
        <v>-138330.31745365457</v>
      </c>
      <c r="U87" s="79">
        <f t="shared" si="58"/>
        <v>-145246.83332633731</v>
      </c>
      <c r="V87" s="79">
        <f t="shared" si="58"/>
        <v>-152509.17499265418</v>
      </c>
    </row>
    <row r="88" spans="1:22" x14ac:dyDescent="0.2">
      <c r="A88" s="70" t="s">
        <v>172</v>
      </c>
      <c r="B88" s="55" t="s">
        <v>118</v>
      </c>
      <c r="C88" s="27"/>
      <c r="D88" s="27"/>
      <c r="E88" s="27"/>
      <c r="F88" s="27"/>
      <c r="G88" s="27"/>
      <c r="H88" s="76">
        <f>SUM(H85:H87)</f>
        <v>191359</v>
      </c>
      <c r="I88" s="76">
        <f t="shared" ref="I88:V88" si="59">SUM(I85:I87)</f>
        <v>155267</v>
      </c>
      <c r="J88" s="76">
        <f t="shared" si="59"/>
        <v>211815</v>
      </c>
      <c r="K88" s="76">
        <f t="shared" si="59"/>
        <v>273413</v>
      </c>
      <c r="L88" s="76">
        <f>SUM(L85:L87)</f>
        <v>332751</v>
      </c>
      <c r="M88" s="77">
        <f t="shared" si="59"/>
        <v>315528.23840898217</v>
      </c>
      <c r="N88" s="77">
        <f t="shared" si="59"/>
        <v>336152.18098830449</v>
      </c>
      <c r="O88" s="77">
        <f t="shared" si="59"/>
        <v>353216.93337714556</v>
      </c>
      <c r="P88" s="77">
        <f t="shared" si="59"/>
        <v>374116.83215380722</v>
      </c>
      <c r="Q88" s="77">
        <f t="shared" si="59"/>
        <v>393419.64006633195</v>
      </c>
      <c r="R88" s="77">
        <f t="shared" si="59"/>
        <v>413825.2784981142</v>
      </c>
      <c r="S88" s="77">
        <f t="shared" si="59"/>
        <v>435392.81179688888</v>
      </c>
      <c r="T88" s="77">
        <f t="shared" si="59"/>
        <v>460597.88060036348</v>
      </c>
      <c r="U88" s="77">
        <f t="shared" si="59"/>
        <v>483627.77463038173</v>
      </c>
      <c r="V88" s="77">
        <f t="shared" si="59"/>
        <v>507809.16336190078</v>
      </c>
    </row>
    <row r="89" spans="1:22" x14ac:dyDescent="0.2">
      <c r="A89" s="70" t="s">
        <v>175</v>
      </c>
      <c r="B89" s="55" t="s">
        <v>118</v>
      </c>
      <c r="C89" s="27"/>
      <c r="D89" s="27"/>
      <c r="E89" s="27"/>
      <c r="F89" s="27"/>
      <c r="G89" s="27"/>
      <c r="H89" s="76"/>
      <c r="I89" s="76">
        <f>I88-H88</f>
        <v>-36092</v>
      </c>
      <c r="J89" s="76">
        <f t="shared" ref="J89:V89" si="60">J88-I88</f>
        <v>56548</v>
      </c>
      <c r="K89" s="76">
        <f t="shared" si="60"/>
        <v>61598</v>
      </c>
      <c r="L89" s="76">
        <f t="shared" si="60"/>
        <v>59338</v>
      </c>
      <c r="M89" s="77">
        <f t="shared" si="60"/>
        <v>-17222.761591017828</v>
      </c>
      <c r="N89" s="77">
        <f t="shared" si="60"/>
        <v>20623.94257932232</v>
      </c>
      <c r="O89" s="77">
        <f t="shared" si="60"/>
        <v>17064.752388841065</v>
      </c>
      <c r="P89" s="77">
        <f t="shared" si="60"/>
        <v>20899.898776661663</v>
      </c>
      <c r="Q89" s="77">
        <f t="shared" si="60"/>
        <v>19302.807912524731</v>
      </c>
      <c r="R89" s="77">
        <f t="shared" si="60"/>
        <v>20405.638431782252</v>
      </c>
      <c r="S89" s="77">
        <f t="shared" si="60"/>
        <v>21567.533298774681</v>
      </c>
      <c r="T89" s="77">
        <f t="shared" si="60"/>
        <v>25205.068803474598</v>
      </c>
      <c r="U89" s="77">
        <f t="shared" si="60"/>
        <v>23029.894030018244</v>
      </c>
      <c r="V89" s="77">
        <f t="shared" si="60"/>
        <v>24181.388731519051</v>
      </c>
    </row>
    <row r="91" spans="1:22" s="38" customFormat="1" ht="20" customHeight="1" x14ac:dyDescent="0.2">
      <c r="A91" s="69" t="s">
        <v>141</v>
      </c>
      <c r="B91" s="36"/>
      <c r="C91" s="37"/>
      <c r="D91" s="37"/>
      <c r="E91" s="37"/>
      <c r="F91" s="37"/>
      <c r="G91" s="37"/>
      <c r="H91" s="37"/>
      <c r="I91" s="37"/>
      <c r="J91" s="37"/>
      <c r="K91" s="37"/>
      <c r="L91" s="37"/>
      <c r="M91" s="37"/>
      <c r="N91" s="37"/>
      <c r="O91" s="37"/>
      <c r="P91" s="37"/>
      <c r="Q91" s="37"/>
      <c r="R91" s="37"/>
      <c r="S91" s="37"/>
      <c r="T91" s="37"/>
      <c r="U91" s="37"/>
      <c r="V91" s="37"/>
    </row>
    <row r="92" spans="1:22" ht="17" customHeight="1" x14ac:dyDescent="0.2">
      <c r="A92" s="68" t="s">
        <v>142</v>
      </c>
      <c r="B92" s="53"/>
      <c r="C92" s="21"/>
      <c r="D92" s="21"/>
      <c r="E92" s="21"/>
      <c r="F92" s="21"/>
      <c r="G92" s="21"/>
      <c r="H92" s="21"/>
      <c r="I92" s="21"/>
      <c r="J92" s="21"/>
      <c r="K92" s="21"/>
      <c r="L92" s="21"/>
      <c r="M92" s="21"/>
      <c r="N92" s="21"/>
      <c r="O92" s="21"/>
      <c r="P92" s="21"/>
      <c r="Q92" s="21"/>
      <c r="R92" s="21"/>
      <c r="S92" s="21"/>
      <c r="T92" s="21"/>
      <c r="U92" s="21"/>
      <c r="V92" s="21"/>
    </row>
    <row r="93" spans="1:22" ht="16" customHeight="1" x14ac:dyDescent="0.2">
      <c r="A93" s="26" t="s">
        <v>142</v>
      </c>
      <c r="B93" s="55" t="s">
        <v>118</v>
      </c>
      <c r="C93" s="27"/>
      <c r="D93" s="27"/>
      <c r="E93" s="27"/>
      <c r="F93" s="27"/>
      <c r="G93" s="27"/>
      <c r="H93" s="82">
        <f>H100</f>
        <v>20282</v>
      </c>
      <c r="I93" s="82">
        <f t="shared" ref="I93:L93" si="61">-I100</f>
        <v>-16174</v>
      </c>
      <c r="J93" s="82">
        <f t="shared" si="61"/>
        <v>-11595</v>
      </c>
      <c r="K93" s="82">
        <f t="shared" si="61"/>
        <v>-23200</v>
      </c>
      <c r="L93" s="82">
        <f t="shared" si="61"/>
        <v>-28703</v>
      </c>
      <c r="M93" s="43">
        <f>M17*M94</f>
        <v>-11125.805652544201</v>
      </c>
      <c r="N93" s="43">
        <f t="shared" ref="N93:V93" si="62">N17*N94</f>
        <v>-11904.612048222296</v>
      </c>
      <c r="O93" s="43">
        <f t="shared" si="62"/>
        <v>-12678.411831356745</v>
      </c>
      <c r="P93" s="43">
        <f t="shared" si="62"/>
        <v>-13502.508600394935</v>
      </c>
      <c r="Q93" s="43">
        <f t="shared" si="62"/>
        <v>-14312.659116418632</v>
      </c>
      <c r="R93" s="43">
        <f t="shared" si="62"/>
        <v>-15171.418663403751</v>
      </c>
      <c r="S93" s="43">
        <f t="shared" si="62"/>
        <v>-16005.846689890956</v>
      </c>
      <c r="T93" s="43">
        <f t="shared" si="62"/>
        <v>-16886.168257834957</v>
      </c>
      <c r="U93" s="43">
        <f t="shared" si="62"/>
        <v>-17730.476670726704</v>
      </c>
      <c r="V93" s="43">
        <f t="shared" si="62"/>
        <v>-18617.000504263044</v>
      </c>
    </row>
    <row r="94" spans="1:22" ht="16" customHeight="1" x14ac:dyDescent="0.2">
      <c r="A94" s="26" t="s">
        <v>143</v>
      </c>
      <c r="B94" s="55" t="s">
        <v>124</v>
      </c>
      <c r="C94" s="27"/>
      <c r="D94" s="27"/>
      <c r="E94" s="27"/>
      <c r="F94" s="27"/>
      <c r="G94" s="27"/>
      <c r="H94" s="86">
        <f>H93/H17</f>
        <v>1.9912112596409105E-2</v>
      </c>
      <c r="I94" s="86">
        <f t="shared" ref="I94:L94" si="63">I93/I17</f>
        <v>-1.2324061713268596E-2</v>
      </c>
      <c r="J94" s="86">
        <f t="shared" si="63"/>
        <v>-6.9635080946652741E-3</v>
      </c>
      <c r="K94" s="86">
        <f t="shared" si="63"/>
        <v>-1.2622738448698091E-2</v>
      </c>
      <c r="L94" s="86">
        <f t="shared" si="63"/>
        <v>-1.478885068119498E-2</v>
      </c>
      <c r="M94" s="87">
        <f>AVERAGE(H94:L94)</f>
        <v>-5.3574092682835668E-3</v>
      </c>
      <c r="N94" s="87">
        <f>M94</f>
        <v>-5.3574092682835668E-3</v>
      </c>
      <c r="O94" s="87">
        <f t="shared" ref="O94:V94" si="64">N94</f>
        <v>-5.3574092682835668E-3</v>
      </c>
      <c r="P94" s="87">
        <f t="shared" si="64"/>
        <v>-5.3574092682835668E-3</v>
      </c>
      <c r="Q94" s="87">
        <f t="shared" si="64"/>
        <v>-5.3574092682835668E-3</v>
      </c>
      <c r="R94" s="87">
        <f t="shared" si="64"/>
        <v>-5.3574092682835668E-3</v>
      </c>
      <c r="S94" s="87">
        <f t="shared" si="64"/>
        <v>-5.3574092682835668E-3</v>
      </c>
      <c r="T94" s="87">
        <f t="shared" si="64"/>
        <v>-5.3574092682835668E-3</v>
      </c>
      <c r="U94" s="87">
        <f t="shared" si="64"/>
        <v>-5.3574092682835668E-3</v>
      </c>
      <c r="V94" s="87">
        <f t="shared" si="64"/>
        <v>-5.3574092682835668E-3</v>
      </c>
    </row>
    <row r="95" spans="1:22" ht="16" customHeight="1" x14ac:dyDescent="0.2">
      <c r="A95" s="26"/>
      <c r="B95" s="55"/>
      <c r="C95" s="27"/>
      <c r="D95" s="27"/>
      <c r="E95" s="27"/>
      <c r="F95" s="27"/>
      <c r="G95" s="27"/>
      <c r="H95" s="28"/>
      <c r="I95" s="28"/>
      <c r="J95" s="28"/>
      <c r="K95" s="28"/>
      <c r="L95" s="28"/>
      <c r="M95" s="29"/>
      <c r="N95" s="29"/>
      <c r="O95" s="29"/>
      <c r="P95" s="29"/>
      <c r="Q95" s="29"/>
      <c r="R95" s="29"/>
      <c r="S95" s="29"/>
      <c r="T95" s="29"/>
      <c r="U95" s="29"/>
      <c r="V95" s="29"/>
    </row>
    <row r="96" spans="1:22" ht="16" customHeight="1" x14ac:dyDescent="0.2">
      <c r="A96" s="26" t="s">
        <v>133</v>
      </c>
      <c r="B96" s="55" t="s">
        <v>118</v>
      </c>
      <c r="C96" s="27"/>
      <c r="D96" s="27"/>
      <c r="E96" s="27"/>
      <c r="F96" s="27"/>
      <c r="G96" s="27"/>
      <c r="H96" s="41">
        <f>H48</f>
        <v>23201</v>
      </c>
      <c r="I96" s="41">
        <f t="shared" ref="I96:L97" si="65">I48</f>
        <v>21719</v>
      </c>
      <c r="J96" s="41">
        <f t="shared" si="65"/>
        <v>21059</v>
      </c>
      <c r="K96" s="41">
        <f t="shared" si="65"/>
        <v>21190</v>
      </c>
      <c r="L96" s="41">
        <f t="shared" si="65"/>
        <v>23298</v>
      </c>
      <c r="M96" s="43">
        <f>M17*M97</f>
        <v>31361.449178577066</v>
      </c>
      <c r="N96" s="43">
        <f t="shared" ref="N96:V96" si="66">N17*N97</f>
        <v>33556.750621077466</v>
      </c>
      <c r="O96" s="43">
        <f t="shared" si="66"/>
        <v>35737.9394114475</v>
      </c>
      <c r="P96" s="43">
        <f t="shared" si="66"/>
        <v>38060.905473191589</v>
      </c>
      <c r="Q96" s="43">
        <f t="shared" si="66"/>
        <v>40344.559801583091</v>
      </c>
      <c r="R96" s="43">
        <f t="shared" si="66"/>
        <v>42765.233389678084</v>
      </c>
      <c r="S96" s="43">
        <f t="shared" si="66"/>
        <v>45117.321226110369</v>
      </c>
      <c r="T96" s="43">
        <f t="shared" si="66"/>
        <v>47598.773893546437</v>
      </c>
      <c r="U96" s="43">
        <f t="shared" si="66"/>
        <v>49978.71258822376</v>
      </c>
      <c r="V96" s="43">
        <f t="shared" si="66"/>
        <v>52477.648217634953</v>
      </c>
    </row>
    <row r="97" spans="1:38" ht="16" customHeight="1" x14ac:dyDescent="0.2">
      <c r="A97" s="26" t="s">
        <v>134</v>
      </c>
      <c r="B97" s="55" t="s">
        <v>124</v>
      </c>
      <c r="C97" s="27"/>
      <c r="D97" s="27"/>
      <c r="E97" s="27"/>
      <c r="F97" s="27"/>
      <c r="G97" s="27"/>
      <c r="H97" s="86">
        <f>H49</f>
        <v>2.2777878135750301E-2</v>
      </c>
      <c r="I97" s="86">
        <f t="shared" si="65"/>
        <v>1.6549171284189479E-2</v>
      </c>
      <c r="J97" s="86">
        <f t="shared" si="65"/>
        <v>1.2647220091897888E-2</v>
      </c>
      <c r="K97" s="86">
        <f t="shared" si="65"/>
        <v>1.152913050551347E-2</v>
      </c>
      <c r="L97" s="86">
        <f t="shared" si="65"/>
        <v>1.2003994118053187E-2</v>
      </c>
      <c r="M97" s="87">
        <f>AVERAGE(H97:L97)</f>
        <v>1.5101478827080864E-2</v>
      </c>
      <c r="N97" s="87">
        <f>M97</f>
        <v>1.5101478827080864E-2</v>
      </c>
      <c r="O97" s="87">
        <f t="shared" ref="O97:V97" si="67">N97</f>
        <v>1.5101478827080864E-2</v>
      </c>
      <c r="P97" s="87">
        <f t="shared" si="67"/>
        <v>1.5101478827080864E-2</v>
      </c>
      <c r="Q97" s="87">
        <f t="shared" si="67"/>
        <v>1.5101478827080864E-2</v>
      </c>
      <c r="R97" s="87">
        <f t="shared" si="67"/>
        <v>1.5101478827080864E-2</v>
      </c>
      <c r="S97" s="87">
        <f t="shared" si="67"/>
        <v>1.5101478827080864E-2</v>
      </c>
      <c r="T97" s="87">
        <f t="shared" si="67"/>
        <v>1.5101478827080864E-2</v>
      </c>
      <c r="U97" s="87">
        <f t="shared" si="67"/>
        <v>1.5101478827080864E-2</v>
      </c>
      <c r="V97" s="87">
        <f t="shared" si="67"/>
        <v>1.5101478827080864E-2</v>
      </c>
    </row>
    <row r="98" spans="1:38" ht="16" customHeight="1" x14ac:dyDescent="0.2">
      <c r="A98" s="26"/>
      <c r="B98" s="55"/>
      <c r="C98" s="27"/>
      <c r="D98" s="27"/>
      <c r="E98" s="27"/>
      <c r="F98" s="27"/>
      <c r="G98" s="27"/>
      <c r="H98" s="3"/>
      <c r="I98" s="28"/>
      <c r="J98" s="28"/>
      <c r="K98" s="28"/>
      <c r="L98" s="28"/>
      <c r="M98" s="29"/>
      <c r="N98" s="29"/>
      <c r="O98" s="29"/>
      <c r="P98" s="29"/>
      <c r="Q98" s="29"/>
      <c r="R98" s="29"/>
      <c r="S98" s="29"/>
      <c r="T98" s="29"/>
      <c r="U98" s="29"/>
      <c r="V98" s="29"/>
    </row>
    <row r="99" spans="1:38" ht="16" customHeight="1" x14ac:dyDescent="0.2">
      <c r="A99" s="26" t="s">
        <v>180</v>
      </c>
      <c r="B99" s="55" t="s">
        <v>118</v>
      </c>
      <c r="C99" s="27"/>
      <c r="D99" s="27"/>
      <c r="E99" s="27"/>
      <c r="F99" s="27"/>
      <c r="G99" s="27"/>
      <c r="H99" s="84">
        <v>210099</v>
      </c>
      <c r="I99" s="84">
        <f>H102</f>
        <v>207180</v>
      </c>
      <c r="J99" s="85">
        <f t="shared" ref="J99:K99" si="68">I102</f>
        <v>201635</v>
      </c>
      <c r="K99" s="85">
        <f t="shared" si="68"/>
        <v>192171</v>
      </c>
      <c r="L99" s="84">
        <f>K102</f>
        <v>194181</v>
      </c>
      <c r="M99" s="88">
        <f>L102</f>
        <v>199586</v>
      </c>
      <c r="N99" s="88">
        <f t="shared" ref="N99:V99" si="69">M102</f>
        <v>179350.35647396714</v>
      </c>
      <c r="O99" s="88">
        <f t="shared" si="69"/>
        <v>157698.21790111199</v>
      </c>
      <c r="P99" s="88">
        <f t="shared" si="69"/>
        <v>134638.69032102125</v>
      </c>
      <c r="Q99" s="88">
        <f t="shared" si="69"/>
        <v>110080.29344822461</v>
      </c>
      <c r="R99" s="88">
        <f t="shared" si="69"/>
        <v>84048.392763060139</v>
      </c>
      <c r="S99" s="88">
        <f t="shared" si="69"/>
        <v>56454.578036785802</v>
      </c>
      <c r="T99" s="88">
        <f t="shared" si="69"/>
        <v>27343.103500566394</v>
      </c>
      <c r="U99" s="88">
        <f t="shared" si="69"/>
        <v>-3369.502135145085</v>
      </c>
      <c r="V99" s="88">
        <f t="shared" si="69"/>
        <v>-35617.73805264214</v>
      </c>
      <c r="Z99" s="342" t="s">
        <v>559</v>
      </c>
      <c r="AA99" s="342" t="s">
        <v>6</v>
      </c>
      <c r="AB99" s="342" t="s">
        <v>5</v>
      </c>
      <c r="AC99" s="342" t="s">
        <v>4</v>
      </c>
      <c r="AD99" s="342" t="s">
        <v>3</v>
      </c>
      <c r="AE99" s="342" t="s">
        <v>2</v>
      </c>
    </row>
    <row r="100" spans="1:38" x14ac:dyDescent="0.2">
      <c r="A100" s="26" t="s">
        <v>181</v>
      </c>
      <c r="B100" s="55" t="s">
        <v>118</v>
      </c>
      <c r="C100" s="27"/>
      <c r="D100" s="27"/>
      <c r="E100" s="27"/>
      <c r="F100" s="27"/>
      <c r="G100" s="27"/>
      <c r="H100" s="84">
        <f>H102-H99-H101</f>
        <v>20282</v>
      </c>
      <c r="I100" s="84">
        <f t="shared" ref="I100:L100" si="70">I102-I99-I101</f>
        <v>16174</v>
      </c>
      <c r="J100" s="84">
        <f t="shared" si="70"/>
        <v>11595</v>
      </c>
      <c r="K100" s="84">
        <f t="shared" si="70"/>
        <v>23200</v>
      </c>
      <c r="L100" s="84">
        <f t="shared" si="70"/>
        <v>28703</v>
      </c>
      <c r="M100" s="88">
        <f>-M93</f>
        <v>11125.805652544201</v>
      </c>
      <c r="N100" s="88">
        <f t="shared" ref="N100:V100" si="71">-N93</f>
        <v>11904.612048222296</v>
      </c>
      <c r="O100" s="88">
        <f t="shared" si="71"/>
        <v>12678.411831356745</v>
      </c>
      <c r="P100" s="88">
        <f t="shared" si="71"/>
        <v>13502.508600394935</v>
      </c>
      <c r="Q100" s="88">
        <f t="shared" si="71"/>
        <v>14312.659116418632</v>
      </c>
      <c r="R100" s="88">
        <f t="shared" si="71"/>
        <v>15171.418663403751</v>
      </c>
      <c r="S100" s="88">
        <f t="shared" si="71"/>
        <v>16005.846689890956</v>
      </c>
      <c r="T100" s="88">
        <f t="shared" si="71"/>
        <v>16886.168257834957</v>
      </c>
      <c r="U100" s="88">
        <f t="shared" si="71"/>
        <v>17730.476670726704</v>
      </c>
      <c r="V100" s="88">
        <f t="shared" si="71"/>
        <v>18617.000504263044</v>
      </c>
      <c r="Z100" s="10" t="s">
        <v>102</v>
      </c>
      <c r="AA100" s="3">
        <v>1018576</v>
      </c>
      <c r="AB100" s="3">
        <v>1312392</v>
      </c>
      <c r="AC100" s="3">
        <v>1665109</v>
      </c>
      <c r="AD100" s="3">
        <v>1837953</v>
      </c>
      <c r="AE100" s="3">
        <v>1940854</v>
      </c>
    </row>
    <row r="101" spans="1:38" ht="16" customHeight="1" x14ac:dyDescent="0.2">
      <c r="A101" s="26" t="s">
        <v>182</v>
      </c>
      <c r="B101" s="55" t="s">
        <v>118</v>
      </c>
      <c r="C101" s="27"/>
      <c r="D101" s="27"/>
      <c r="E101" s="27"/>
      <c r="F101" s="27"/>
      <c r="G101" s="27"/>
      <c r="H101" s="89">
        <f>-H48</f>
        <v>-23201</v>
      </c>
      <c r="I101" s="89">
        <f t="shared" ref="I101:L101" si="72">-I48</f>
        <v>-21719</v>
      </c>
      <c r="J101" s="89">
        <f t="shared" si="72"/>
        <v>-21059</v>
      </c>
      <c r="K101" s="89">
        <f t="shared" si="72"/>
        <v>-21190</v>
      </c>
      <c r="L101" s="89">
        <f t="shared" si="72"/>
        <v>-23298</v>
      </c>
      <c r="M101" s="90">
        <f>-M96</f>
        <v>-31361.449178577066</v>
      </c>
      <c r="N101" s="90">
        <f t="shared" ref="N101:U101" si="73">-N96</f>
        <v>-33556.750621077466</v>
      </c>
      <c r="O101" s="90">
        <f t="shared" si="73"/>
        <v>-35737.9394114475</v>
      </c>
      <c r="P101" s="90">
        <f t="shared" si="73"/>
        <v>-38060.905473191589</v>
      </c>
      <c r="Q101" s="90">
        <f t="shared" si="73"/>
        <v>-40344.559801583091</v>
      </c>
      <c r="R101" s="90">
        <f t="shared" si="73"/>
        <v>-42765.233389678084</v>
      </c>
      <c r="S101" s="90">
        <f t="shared" si="73"/>
        <v>-45117.321226110369</v>
      </c>
      <c r="T101" s="90">
        <f t="shared" si="73"/>
        <v>-47598.773893546437</v>
      </c>
      <c r="U101" s="90">
        <f t="shared" si="73"/>
        <v>-49978.71258822376</v>
      </c>
      <c r="V101" s="90">
        <f>-V96</f>
        <v>-52477.648217634953</v>
      </c>
      <c r="Z101" s="10" t="s">
        <v>560</v>
      </c>
      <c r="AA101" s="3">
        <v>42409</v>
      </c>
      <c r="AB101" s="3">
        <v>72641</v>
      </c>
      <c r="AC101" s="3">
        <v>63254</v>
      </c>
      <c r="AD101" s="3">
        <v>76993</v>
      </c>
      <c r="AE101" s="3">
        <v>85095</v>
      </c>
    </row>
    <row r="102" spans="1:38" ht="16" customHeight="1" x14ac:dyDescent="0.2">
      <c r="A102" s="26" t="s">
        <v>179</v>
      </c>
      <c r="B102" s="55" t="s">
        <v>118</v>
      </c>
      <c r="C102" s="27"/>
      <c r="D102" s="27"/>
      <c r="E102" s="27"/>
      <c r="F102" s="27"/>
      <c r="G102" s="27"/>
      <c r="H102" s="84">
        <f>H107</f>
        <v>207180</v>
      </c>
      <c r="I102" s="84">
        <f t="shared" ref="I102:L102" si="74">I107</f>
        <v>201635</v>
      </c>
      <c r="J102" s="84">
        <f t="shared" si="74"/>
        <v>192171</v>
      </c>
      <c r="K102" s="84">
        <f t="shared" si="74"/>
        <v>194181</v>
      </c>
      <c r="L102" s="84">
        <f t="shared" si="74"/>
        <v>199586</v>
      </c>
      <c r="M102" s="88">
        <f>SUM(M99:M101)</f>
        <v>179350.35647396714</v>
      </c>
      <c r="N102" s="88">
        <f t="shared" ref="N102:V102" si="75">SUM(N99:N101)</f>
        <v>157698.21790111199</v>
      </c>
      <c r="O102" s="88">
        <f t="shared" si="75"/>
        <v>134638.69032102125</v>
      </c>
      <c r="P102" s="88">
        <f t="shared" si="75"/>
        <v>110080.29344822461</v>
      </c>
      <c r="Q102" s="88">
        <f t="shared" si="75"/>
        <v>84048.392763060139</v>
      </c>
      <c r="R102" s="88">
        <f t="shared" si="75"/>
        <v>56454.578036785802</v>
      </c>
      <c r="S102" s="88">
        <f t="shared" si="75"/>
        <v>27343.103500566394</v>
      </c>
      <c r="T102" s="88">
        <f t="shared" si="75"/>
        <v>-3369.502135145085</v>
      </c>
      <c r="U102" s="88">
        <f t="shared" si="75"/>
        <v>-35617.73805264214</v>
      </c>
      <c r="V102" s="88">
        <f t="shared" si="75"/>
        <v>-69478.385766014049</v>
      </c>
      <c r="Z102" s="10" t="s">
        <v>335</v>
      </c>
      <c r="AA102" s="3">
        <v>19208</v>
      </c>
      <c r="AB102" s="3">
        <v>50922</v>
      </c>
      <c r="AC102" s="3">
        <v>42195</v>
      </c>
      <c r="AD102" s="3">
        <v>55803</v>
      </c>
      <c r="AE102" s="3">
        <v>61797</v>
      </c>
    </row>
    <row r="103" spans="1:38" ht="16" customHeight="1" x14ac:dyDescent="0.2">
      <c r="A103" s="26"/>
      <c r="B103" s="55"/>
      <c r="C103" s="27"/>
      <c r="D103" s="27"/>
      <c r="E103" s="27"/>
      <c r="F103" s="27"/>
      <c r="G103" s="27"/>
      <c r="H103" s="41"/>
      <c r="I103" s="28"/>
      <c r="J103" s="28"/>
      <c r="K103" s="28"/>
      <c r="L103" s="28"/>
      <c r="M103" s="29"/>
      <c r="N103" s="29"/>
      <c r="O103" s="29"/>
      <c r="P103" s="29"/>
      <c r="Q103" s="29"/>
      <c r="R103" s="29"/>
      <c r="S103" s="29"/>
      <c r="T103" s="29"/>
      <c r="U103" s="29"/>
      <c r="V103" s="29"/>
      <c r="Z103" s="10" t="s">
        <v>426</v>
      </c>
      <c r="AA103" s="3">
        <v>11383</v>
      </c>
      <c r="AB103" s="3">
        <v>36608</v>
      </c>
      <c r="AC103" s="3">
        <v>30468</v>
      </c>
      <c r="AD103" s="3">
        <v>41086</v>
      </c>
      <c r="AE103" s="3">
        <v>44241</v>
      </c>
    </row>
    <row r="104" spans="1:38" ht="16" customHeight="1" x14ac:dyDescent="0.2">
      <c r="A104" s="26" t="s">
        <v>183</v>
      </c>
      <c r="B104" s="55" t="s">
        <v>118</v>
      </c>
      <c r="C104" s="27"/>
      <c r="D104" s="27"/>
      <c r="E104" s="27"/>
      <c r="F104" s="27"/>
      <c r="G104" s="27"/>
      <c r="H104" s="76">
        <f>'Balance Sheet- Historic'!C10</f>
        <v>192203</v>
      </c>
      <c r="I104" s="76">
        <f>'Balance Sheet- Historic'!D10</f>
        <v>189008</v>
      </c>
      <c r="J104" s="76">
        <f>'Balance Sheet- Historic'!E10</f>
        <v>183235</v>
      </c>
      <c r="K104" s="76">
        <f>'Balance Sheet- Historic'!F10</f>
        <v>176009</v>
      </c>
      <c r="L104" s="76">
        <f>'Balance Sheet- Historic'!G10</f>
        <v>173512</v>
      </c>
      <c r="M104" s="43">
        <f>M102*AVERAGE($H$104/$H$107,$I$104/$I$107,$J$104/$J$107,$K$104/$K$107,$L$104/$L$107)</f>
        <v>164800.15267692396</v>
      </c>
      <c r="N104" s="43">
        <f t="shared" ref="N104:U104" si="76">N102*AVERAGE($H$104/$H$107,$I$104/$I$107,$J$104/$J$107,$K$104/$K$107,$L$104/$L$107)</f>
        <v>144904.59287575691</v>
      </c>
      <c r="O104" s="43">
        <f t="shared" si="76"/>
        <v>123715.82168751398</v>
      </c>
      <c r="P104" s="43">
        <f t="shared" si="76"/>
        <v>101149.78037203525</v>
      </c>
      <c r="Q104" s="43">
        <f t="shared" si="76"/>
        <v>77229.776577627796</v>
      </c>
      <c r="R104" s="43">
        <f t="shared" si="76"/>
        <v>51874.572555555875</v>
      </c>
      <c r="S104" s="43">
        <f t="shared" si="76"/>
        <v>25124.832312270017</v>
      </c>
      <c r="T104" s="43">
        <f t="shared" si="76"/>
        <v>-3096.1436443965626</v>
      </c>
      <c r="U104" s="43">
        <f t="shared" si="76"/>
        <v>-32728.168398896476</v>
      </c>
      <c r="V104" s="43">
        <f>V102*AVERAGE($H$104/$H$107,$I$104/$I$107,$J$104/$J$107,$K$104/$K$107,$L$104/$L$107)</f>
        <v>-63841.794391121381</v>
      </c>
    </row>
    <row r="105" spans="1:38" ht="16" customHeight="1" x14ac:dyDescent="0.2">
      <c r="A105" s="26" t="s">
        <v>184</v>
      </c>
      <c r="B105" s="55" t="s">
        <v>118</v>
      </c>
      <c r="C105" s="27"/>
      <c r="D105" s="27"/>
      <c r="E105" s="27"/>
      <c r="F105" s="27"/>
      <c r="G105" s="27"/>
      <c r="H105" s="81">
        <f>'Balance Sheet- Historic'!C11</f>
        <v>12879</v>
      </c>
      <c r="I105" s="81">
        <f>'Balance Sheet- Historic'!D11</f>
        <v>10989</v>
      </c>
      <c r="J105" s="81">
        <f>'Balance Sheet- Historic'!E11</f>
        <v>7713</v>
      </c>
      <c r="K105" s="81">
        <f>'Balance Sheet- Historic'!F11</f>
        <v>17268</v>
      </c>
      <c r="L105" s="81">
        <f>'Balance Sheet- Historic'!G11</f>
        <v>25337</v>
      </c>
      <c r="M105" s="43">
        <f>M102*AVERAGE($H$105/$H$107,$I$105/$I$107,$J$105/$J$107,$K$105/$K$107,$L$105/$L$107)</f>
        <v>13367.844913338926</v>
      </c>
      <c r="N105" s="43">
        <f t="shared" ref="N105:V105" si="77">N102*AVERAGE($H$105/$H$107,$I$105/$I$107,$J$105/$J$107,$K$105/$K$107,$L$105/$L$107)</f>
        <v>11754.006858179753</v>
      </c>
      <c r="O105" s="43">
        <f t="shared" si="77"/>
        <v>10035.269329435236</v>
      </c>
      <c r="P105" s="43">
        <f t="shared" si="77"/>
        <v>8204.8138613223236</v>
      </c>
      <c r="Q105" s="43">
        <f t="shared" si="77"/>
        <v>6264.5310651226346</v>
      </c>
      <c r="R105" s="43">
        <f t="shared" si="77"/>
        <v>4207.8313011509645</v>
      </c>
      <c r="S105" s="43">
        <f t="shared" si="77"/>
        <v>2038.0130501608539</v>
      </c>
      <c r="T105" s="43">
        <f t="shared" si="77"/>
        <v>-251.14520463371312</v>
      </c>
      <c r="U105" s="43">
        <f t="shared" si="77"/>
        <v>-2654.7613721680086</v>
      </c>
      <c r="V105" s="43">
        <f t="shared" si="77"/>
        <v>-5178.5583480790192</v>
      </c>
    </row>
    <row r="106" spans="1:38" ht="16" customHeight="1" x14ac:dyDescent="0.2">
      <c r="A106" s="26" t="s">
        <v>185</v>
      </c>
      <c r="B106" s="55" t="s">
        <v>118</v>
      </c>
      <c r="C106" s="27"/>
      <c r="D106" s="27"/>
      <c r="E106" s="27"/>
      <c r="F106" s="27"/>
      <c r="G106" s="27"/>
      <c r="H106" s="83">
        <f>'Balance Sheet- Historic'!C12</f>
        <v>2098</v>
      </c>
      <c r="I106" s="83">
        <f>'Balance Sheet- Historic'!D12</f>
        <v>1638</v>
      </c>
      <c r="J106" s="83">
        <f>'Balance Sheet- Historic'!E12</f>
        <v>1223</v>
      </c>
      <c r="K106" s="83">
        <f>'Balance Sheet- Historic'!F12</f>
        <v>904</v>
      </c>
      <c r="L106" s="83">
        <f>'Balance Sheet- Historic'!G12</f>
        <v>737</v>
      </c>
      <c r="M106" s="43">
        <f>M102*AVERAGE($H$106/$H$107,$I$106/$I$107,$J$106/$J$107,$K$106/$K$107,$L$106/$L$107)</f>
        <v>1182.3588837042525</v>
      </c>
      <c r="N106" s="43">
        <f t="shared" ref="N106:V106" si="78">N102*AVERAGE($H$106/$H$107,$I$106/$I$107,$J$106/$J$107,$K$106/$K$107,$L$106/$L$107)</f>
        <v>1039.6181671753354</v>
      </c>
      <c r="O106" s="43">
        <f t="shared" si="78"/>
        <v>887.59930407203842</v>
      </c>
      <c r="P106" s="43">
        <f t="shared" si="78"/>
        <v>725.69921486702719</v>
      </c>
      <c r="Q106" s="43">
        <f t="shared" si="78"/>
        <v>554.08512030971508</v>
      </c>
      <c r="R106" s="43">
        <f t="shared" si="78"/>
        <v>372.17418007896424</v>
      </c>
      <c r="S106" s="43">
        <f t="shared" si="78"/>
        <v>180.25813813552224</v>
      </c>
      <c r="T106" s="43">
        <f t="shared" si="78"/>
        <v>-22.213286114809112</v>
      </c>
      <c r="U106" s="43">
        <f t="shared" si="78"/>
        <v>-234.80828157765706</v>
      </c>
      <c r="V106" s="43">
        <f t="shared" si="78"/>
        <v>-458.03302681364738</v>
      </c>
    </row>
    <row r="107" spans="1:38" ht="16" customHeight="1" x14ac:dyDescent="0.2">
      <c r="A107" s="26" t="s">
        <v>186</v>
      </c>
      <c r="B107" s="55" t="s">
        <v>118</v>
      </c>
      <c r="C107" s="27"/>
      <c r="D107" s="27"/>
      <c r="E107" s="27"/>
      <c r="F107" s="27"/>
      <c r="G107" s="27"/>
      <c r="H107" s="84">
        <f>SUM(H104:H106)</f>
        <v>207180</v>
      </c>
      <c r="I107" s="84">
        <f t="shared" ref="I107:L107" si="79">SUM(I104:I106)</f>
        <v>201635</v>
      </c>
      <c r="J107" s="84">
        <f t="shared" si="79"/>
        <v>192171</v>
      </c>
      <c r="K107" s="84">
        <f t="shared" si="79"/>
        <v>194181</v>
      </c>
      <c r="L107" s="84">
        <f t="shared" si="79"/>
        <v>199586</v>
      </c>
      <c r="M107" s="43">
        <f>SUM(M104:M106)</f>
        <v>179350.35647396714</v>
      </c>
      <c r="N107" s="43">
        <f t="shared" ref="N107:V107" si="80">SUM(N104:N106)</f>
        <v>157698.21790111199</v>
      </c>
      <c r="O107" s="43">
        <f t="shared" si="80"/>
        <v>134638.69032102125</v>
      </c>
      <c r="P107" s="43">
        <f t="shared" si="80"/>
        <v>110080.29344822461</v>
      </c>
      <c r="Q107" s="43">
        <f t="shared" si="80"/>
        <v>84048.392763060139</v>
      </c>
      <c r="R107" s="43">
        <f t="shared" si="80"/>
        <v>56454.57803678581</v>
      </c>
      <c r="S107" s="43">
        <f t="shared" si="80"/>
        <v>27343.103500566394</v>
      </c>
      <c r="T107" s="43">
        <f t="shared" si="80"/>
        <v>-3369.502135145085</v>
      </c>
      <c r="U107" s="43">
        <f t="shared" si="80"/>
        <v>-35617.73805264214</v>
      </c>
      <c r="V107" s="43">
        <f t="shared" si="80"/>
        <v>-69478.385766014049</v>
      </c>
    </row>
    <row r="108" spans="1:38" x14ac:dyDescent="0.2">
      <c r="A108"/>
      <c r="M108" s="130"/>
    </row>
    <row r="109" spans="1:38" s="38" customFormat="1" ht="20" customHeight="1" x14ac:dyDescent="0.2">
      <c r="A109" s="69" t="s">
        <v>145</v>
      </c>
      <c r="B109" s="36"/>
      <c r="C109" s="37"/>
      <c r="D109" s="37"/>
      <c r="E109" s="37"/>
      <c r="F109" s="37"/>
      <c r="G109" s="37"/>
      <c r="H109" s="37"/>
      <c r="I109" s="37"/>
      <c r="J109" s="37"/>
      <c r="K109" s="37"/>
      <c r="L109" s="37"/>
      <c r="M109" s="37"/>
      <c r="N109" s="37"/>
      <c r="O109" s="37"/>
      <c r="P109" s="37"/>
      <c r="Q109" s="37"/>
      <c r="R109" s="37"/>
      <c r="S109" s="37"/>
      <c r="T109" s="37"/>
      <c r="U109" s="37"/>
      <c r="V109" s="37"/>
    </row>
    <row r="110" spans="1:38" ht="17" customHeight="1" x14ac:dyDescent="0.2">
      <c r="A110" s="68" t="s">
        <v>146</v>
      </c>
      <c r="B110" s="53"/>
      <c r="C110" s="21"/>
      <c r="D110" s="21"/>
      <c r="E110" s="21"/>
      <c r="F110" s="21"/>
      <c r="G110" s="21"/>
      <c r="H110" s="21"/>
      <c r="I110" s="21"/>
      <c r="J110" s="21"/>
      <c r="K110" s="21"/>
      <c r="L110" s="21"/>
      <c r="M110" s="21"/>
      <c r="N110" s="21"/>
      <c r="O110" s="21"/>
      <c r="P110" s="21"/>
      <c r="Q110" s="21"/>
      <c r="R110" s="21"/>
      <c r="S110" s="21"/>
      <c r="T110" s="21"/>
      <c r="U110" s="21"/>
      <c r="V110" s="21"/>
    </row>
    <row r="111" spans="1:38" ht="17" customHeight="1" x14ac:dyDescent="0.2">
      <c r="A111" s="70"/>
      <c r="B111" s="8"/>
      <c r="C111" s="8"/>
      <c r="F111" s="56"/>
      <c r="H111" s="28"/>
      <c r="I111" s="28"/>
      <c r="J111" s="28"/>
      <c r="K111" s="28"/>
      <c r="L111" s="28"/>
      <c r="M111" s="29"/>
      <c r="N111" s="29"/>
      <c r="O111" s="29"/>
      <c r="P111" s="29"/>
      <c r="Q111" s="29"/>
      <c r="R111" s="29"/>
      <c r="S111" s="29"/>
      <c r="T111" s="29"/>
      <c r="U111" s="29"/>
      <c r="V111" s="29"/>
      <c r="X111" s="130">
        <f>X112</f>
        <v>20282</v>
      </c>
      <c r="Y111" s="130">
        <f>-Y112</f>
        <v>16174</v>
      </c>
      <c r="Z111" s="130">
        <f t="shared" ref="Z111:AL111" si="81">-Z112</f>
        <v>11595</v>
      </c>
      <c r="AA111" s="130">
        <f t="shared" si="81"/>
        <v>23200</v>
      </c>
      <c r="AB111" s="130">
        <f t="shared" si="81"/>
        <v>28703</v>
      </c>
      <c r="AC111" s="130">
        <f t="shared" si="81"/>
        <v>11125.805652544201</v>
      </c>
      <c r="AD111" s="130">
        <f t="shared" si="81"/>
        <v>11904.612048222296</v>
      </c>
      <c r="AE111" s="130">
        <f t="shared" si="81"/>
        <v>12678.411831356745</v>
      </c>
      <c r="AF111" s="130">
        <f t="shared" si="81"/>
        <v>13502.508600394935</v>
      </c>
      <c r="AG111" s="130">
        <f t="shared" si="81"/>
        <v>14312.659116418632</v>
      </c>
      <c r="AH111" s="130">
        <f t="shared" si="81"/>
        <v>15171.418663403751</v>
      </c>
      <c r="AI111" s="130">
        <f t="shared" si="81"/>
        <v>16005.846689890956</v>
      </c>
      <c r="AJ111" s="130">
        <f t="shared" si="81"/>
        <v>16886.168257834957</v>
      </c>
      <c r="AK111" s="130">
        <f t="shared" si="81"/>
        <v>17730.476670726704</v>
      </c>
      <c r="AL111" s="130">
        <f t="shared" si="81"/>
        <v>18617.000504263044</v>
      </c>
    </row>
    <row r="112" spans="1:38" ht="17" customHeight="1" x14ac:dyDescent="0.2">
      <c r="A112" s="71" t="s">
        <v>37</v>
      </c>
      <c r="B112"/>
      <c r="C112"/>
      <c r="F112" s="56"/>
      <c r="H112" s="35"/>
      <c r="I112" s="35"/>
      <c r="J112" s="35"/>
      <c r="K112" s="35"/>
      <c r="L112" s="35"/>
      <c r="M112" s="29"/>
      <c r="N112" s="29"/>
      <c r="O112" s="29"/>
      <c r="P112" s="29"/>
      <c r="Q112" s="29"/>
      <c r="R112" s="29"/>
      <c r="S112" s="29"/>
      <c r="T112" s="29"/>
      <c r="U112" s="29"/>
      <c r="V112" s="29"/>
      <c r="X112" s="82">
        <v>20282</v>
      </c>
      <c r="Y112" s="82">
        <v>-16174</v>
      </c>
      <c r="Z112" s="82">
        <v>-11595</v>
      </c>
      <c r="AA112" s="82">
        <v>-23200</v>
      </c>
      <c r="AB112" s="82">
        <v>-28703</v>
      </c>
      <c r="AC112" s="43">
        <v>-11125.805652544201</v>
      </c>
      <c r="AD112" s="43">
        <v>-11904.612048222296</v>
      </c>
      <c r="AE112" s="43">
        <v>-12678.411831356745</v>
      </c>
      <c r="AF112" s="43">
        <v>-13502.508600394935</v>
      </c>
      <c r="AG112" s="43">
        <v>-14312.659116418632</v>
      </c>
      <c r="AH112" s="43">
        <v>-15171.418663403751</v>
      </c>
      <c r="AI112" s="43">
        <v>-16005.846689890956</v>
      </c>
      <c r="AJ112" s="43">
        <v>-16886.168257834957</v>
      </c>
      <c r="AK112" s="43">
        <v>-17730.476670726704</v>
      </c>
      <c r="AL112" s="43">
        <v>-18617.000504263044</v>
      </c>
    </row>
    <row r="113" spans="1:22" x14ac:dyDescent="0.2">
      <c r="A113" s="26" t="s">
        <v>187</v>
      </c>
      <c r="B113" s="8"/>
      <c r="C113"/>
      <c r="F113" s="56"/>
      <c r="H113" s="35">
        <v>0</v>
      </c>
      <c r="I113" s="35">
        <f>H117</f>
        <v>11541</v>
      </c>
      <c r="J113" s="35">
        <f t="shared" ref="J113:V113" si="82">I117</f>
        <v>0</v>
      </c>
      <c r="K113" s="35">
        <f t="shared" si="82"/>
        <v>0</v>
      </c>
      <c r="L113" s="35">
        <f t="shared" si="82"/>
        <v>7741</v>
      </c>
      <c r="M113" s="35">
        <f t="shared" si="82"/>
        <v>57485</v>
      </c>
      <c r="N113" s="35">
        <f t="shared" si="82"/>
        <v>57485</v>
      </c>
      <c r="O113" s="35">
        <f t="shared" si="82"/>
        <v>57485</v>
      </c>
      <c r="P113" s="35">
        <f t="shared" si="82"/>
        <v>57485</v>
      </c>
      <c r="Q113" s="35">
        <f t="shared" si="82"/>
        <v>57485</v>
      </c>
      <c r="R113" s="35">
        <f t="shared" si="82"/>
        <v>57485</v>
      </c>
      <c r="S113" s="35">
        <f t="shared" si="82"/>
        <v>57485</v>
      </c>
      <c r="T113" s="35">
        <f t="shared" si="82"/>
        <v>57485</v>
      </c>
      <c r="U113" s="35">
        <f t="shared" si="82"/>
        <v>57485</v>
      </c>
      <c r="V113" s="35">
        <f t="shared" si="82"/>
        <v>57485</v>
      </c>
    </row>
    <row r="114" spans="1:22" x14ac:dyDescent="0.2">
      <c r="A114" s="26" t="s">
        <v>188</v>
      </c>
      <c r="B114" s="8"/>
      <c r="C114"/>
      <c r="F114" s="56"/>
      <c r="H114" s="126">
        <f>'Cash flow-Historic'!B52+MAX('Cash flow-Historic'!B55,0)</f>
        <v>25000</v>
      </c>
      <c r="I114" s="126">
        <f>'Cash flow-Historic'!C52+MAX('Cash flow-Historic'!C55,0)</f>
        <v>0</v>
      </c>
      <c r="J114" s="126">
        <f>'Cash flow-Historic'!D52+MAX('Cash flow-Historic'!D55,0)</f>
        <v>0</v>
      </c>
      <c r="K114" s="126">
        <f>'Cash flow-Historic'!E52+MAX('Cash flow-Historic'!E55,0)</f>
        <v>7741</v>
      </c>
      <c r="L114" s="126">
        <f>'Cash flow-Historic'!F52+MAX('Cash flow-Historic'!F55,0)</f>
        <v>49744</v>
      </c>
      <c r="M114" s="29">
        <v>0</v>
      </c>
      <c r="N114" s="29">
        <v>0</v>
      </c>
      <c r="O114" s="29">
        <v>0</v>
      </c>
      <c r="P114" s="29">
        <v>0</v>
      </c>
      <c r="Q114" s="29">
        <v>0</v>
      </c>
      <c r="R114" s="29">
        <v>0</v>
      </c>
      <c r="S114" s="29">
        <v>0</v>
      </c>
      <c r="T114" s="29">
        <v>0</v>
      </c>
      <c r="U114" s="29">
        <v>0</v>
      </c>
      <c r="V114" s="29">
        <v>0</v>
      </c>
    </row>
    <row r="115" spans="1:22" x14ac:dyDescent="0.2">
      <c r="A115" s="26" t="s">
        <v>189</v>
      </c>
      <c r="B115" s="8"/>
      <c r="C115"/>
      <c r="F115" s="56"/>
      <c r="H115" s="35">
        <f>'Cash flow-Historic'!B53+MIN('Cash flow-Historic'!B55,0)</f>
        <v>-23541</v>
      </c>
      <c r="I115" s="35">
        <f>'Cash flow-Historic'!C53+MIN('Cash flow-Historic'!C55,0)</f>
        <v>-25017</v>
      </c>
      <c r="J115" s="35">
        <f>'Cash flow-Historic'!D53+MIN('Cash flow-Historic'!D55,0)</f>
        <v>0</v>
      </c>
      <c r="K115" s="35">
        <f>'Cash flow-Historic'!E53+MIN('Cash flow-Historic'!E55,0)</f>
        <v>0</v>
      </c>
      <c r="L115" s="35">
        <f>'Cash flow-Historic'!F53+MIN('Cash flow-Historic'!F55,0)</f>
        <v>0</v>
      </c>
      <c r="M115" s="29">
        <v>0</v>
      </c>
      <c r="N115" s="29">
        <v>0</v>
      </c>
      <c r="O115" s="29">
        <v>0</v>
      </c>
      <c r="P115" s="29">
        <v>0</v>
      </c>
      <c r="Q115" s="29">
        <v>0</v>
      </c>
      <c r="R115" s="29">
        <v>0</v>
      </c>
      <c r="S115" s="29">
        <v>0</v>
      </c>
      <c r="T115" s="29">
        <v>0</v>
      </c>
      <c r="U115" s="29">
        <v>0</v>
      </c>
      <c r="V115" s="29">
        <v>0</v>
      </c>
    </row>
    <row r="116" spans="1:22" x14ac:dyDescent="0.2">
      <c r="A116" s="26" t="s">
        <v>196</v>
      </c>
      <c r="B116" s="8"/>
      <c r="H116" s="126">
        <f>H117-H113-H114-H115</f>
        <v>10082</v>
      </c>
      <c r="I116" s="126">
        <f t="shared" ref="I116:L116" si="83">I117-I113-I114-I115</f>
        <v>13476</v>
      </c>
      <c r="J116" s="126">
        <f t="shared" si="83"/>
        <v>0</v>
      </c>
      <c r="K116" s="126">
        <f t="shared" si="83"/>
        <v>0</v>
      </c>
      <c r="L116" s="126">
        <f t="shared" si="83"/>
        <v>0</v>
      </c>
      <c r="M116" s="29">
        <v>0</v>
      </c>
      <c r="N116" s="29">
        <v>0</v>
      </c>
      <c r="O116" s="29">
        <v>0</v>
      </c>
      <c r="P116" s="29">
        <v>0</v>
      </c>
      <c r="Q116" s="29">
        <v>0</v>
      </c>
      <c r="R116" s="29">
        <v>0</v>
      </c>
      <c r="S116" s="29">
        <v>0</v>
      </c>
      <c r="T116" s="29">
        <v>0</v>
      </c>
      <c r="U116" s="29">
        <v>0</v>
      </c>
      <c r="V116" s="29">
        <v>0</v>
      </c>
    </row>
    <row r="117" spans="1:22" x14ac:dyDescent="0.2">
      <c r="A117" s="26" t="s">
        <v>190</v>
      </c>
      <c r="B117" s="8"/>
      <c r="C117"/>
      <c r="H117" s="126">
        <f>'Balance Sheet- Historic'!C44+'Balance Sheet- Historic'!C37</f>
        <v>11541</v>
      </c>
      <c r="I117" s="126">
        <f>'Balance Sheet- Historic'!D44+'Balance Sheet- Historic'!D37</f>
        <v>0</v>
      </c>
      <c r="J117" s="126">
        <f>'Balance Sheet- Historic'!E44+'Balance Sheet- Historic'!E37</f>
        <v>0</v>
      </c>
      <c r="K117" s="126">
        <f>'Balance Sheet- Historic'!F44+'Balance Sheet- Historic'!F37</f>
        <v>7741</v>
      </c>
      <c r="L117" s="126">
        <f>'Balance Sheet- Historic'!G44+'Balance Sheet- Historic'!G37</f>
        <v>57485</v>
      </c>
      <c r="M117" s="29">
        <f>SUM(M113:M116)</f>
        <v>57485</v>
      </c>
      <c r="N117" s="29">
        <f t="shared" ref="N117:V117" si="84">SUM(N113:N116)</f>
        <v>57485</v>
      </c>
      <c r="O117" s="29">
        <f t="shared" si="84"/>
        <v>57485</v>
      </c>
      <c r="P117" s="29">
        <f t="shared" si="84"/>
        <v>57485</v>
      </c>
      <c r="Q117" s="29">
        <f t="shared" si="84"/>
        <v>57485</v>
      </c>
      <c r="R117" s="29">
        <f t="shared" si="84"/>
        <v>57485</v>
      </c>
      <c r="S117" s="29">
        <f t="shared" si="84"/>
        <v>57485</v>
      </c>
      <c r="T117" s="29">
        <f t="shared" si="84"/>
        <v>57485</v>
      </c>
      <c r="U117" s="29">
        <f t="shared" si="84"/>
        <v>57485</v>
      </c>
      <c r="V117" s="29">
        <f t="shared" si="84"/>
        <v>57485</v>
      </c>
    </row>
    <row r="118" spans="1:22" x14ac:dyDescent="0.2">
      <c r="B118" s="8"/>
      <c r="C118"/>
    </row>
    <row r="119" spans="1:22" x14ac:dyDescent="0.2">
      <c r="A119" s="71" t="s">
        <v>38</v>
      </c>
      <c r="B119" s="8"/>
      <c r="C119"/>
    </row>
    <row r="120" spans="1:22" x14ac:dyDescent="0.2">
      <c r="A120" s="26" t="s">
        <v>191</v>
      </c>
      <c r="B120" s="8"/>
      <c r="C120"/>
      <c r="H120" s="76">
        <v>0</v>
      </c>
      <c r="I120" s="76">
        <f>H124</f>
        <v>0</v>
      </c>
      <c r="J120" s="76">
        <f>I124</f>
        <v>974</v>
      </c>
      <c r="K120" s="76">
        <f>J124</f>
        <v>1562</v>
      </c>
      <c r="L120" s="76">
        <f>K124</f>
        <v>2462</v>
      </c>
      <c r="M120" s="43">
        <f>L124</f>
        <v>4513</v>
      </c>
      <c r="N120" s="43">
        <f t="shared" ref="N120:V120" si="85">M124</f>
        <v>5415.5999999999995</v>
      </c>
      <c r="O120" s="43">
        <f t="shared" si="85"/>
        <v>6498.7199999999993</v>
      </c>
      <c r="P120" s="43">
        <f t="shared" si="85"/>
        <v>7603.6639999999998</v>
      </c>
      <c r="Q120" s="43">
        <f t="shared" si="85"/>
        <v>8811.996799999999</v>
      </c>
      <c r="R120" s="43">
        <f t="shared" si="85"/>
        <v>10081.996159999999</v>
      </c>
      <c r="S120" s="43">
        <f t="shared" si="85"/>
        <v>11195.795391999998</v>
      </c>
      <c r="T120" s="43">
        <f t="shared" si="85"/>
        <v>12351.834470399999</v>
      </c>
      <c r="U120" s="43">
        <f t="shared" si="85"/>
        <v>13522.45736448</v>
      </c>
      <c r="V120" s="43">
        <f t="shared" si="85"/>
        <v>14706.216037376</v>
      </c>
    </row>
    <row r="121" spans="1:22" x14ac:dyDescent="0.2">
      <c r="A121" s="26" t="s">
        <v>192</v>
      </c>
      <c r="B121" s="8"/>
      <c r="C121"/>
      <c r="H121" s="76">
        <f>H124-H120-H122-H123</f>
        <v>853</v>
      </c>
      <c r="I121" s="76">
        <f t="shared" ref="I121:L121" si="86">I124-I120-I122-I123</f>
        <v>1466</v>
      </c>
      <c r="J121" s="76">
        <f t="shared" si="86"/>
        <v>1586</v>
      </c>
      <c r="K121" s="76">
        <f t="shared" si="86"/>
        <v>1627</v>
      </c>
      <c r="L121" s="76">
        <f t="shared" si="86"/>
        <v>3004</v>
      </c>
      <c r="M121" s="43">
        <f>AVERAGE(H121:L121)</f>
        <v>1707.2</v>
      </c>
      <c r="N121" s="43">
        <f t="shared" ref="N121:V122" si="87">AVERAGE(I121:M121)</f>
        <v>1878.0400000000002</v>
      </c>
      <c r="O121" s="43">
        <f t="shared" si="87"/>
        <v>1960.4479999999999</v>
      </c>
      <c r="P121" s="43">
        <f t="shared" si="87"/>
        <v>2035.3376000000001</v>
      </c>
      <c r="Q121" s="43">
        <f t="shared" si="87"/>
        <v>2117.0051200000003</v>
      </c>
      <c r="R121" s="43">
        <f t="shared" si="87"/>
        <v>1939.6061440000001</v>
      </c>
      <c r="S121" s="43">
        <f t="shared" si="87"/>
        <v>1986.0873727999999</v>
      </c>
      <c r="T121" s="43">
        <f t="shared" si="87"/>
        <v>2007.6968473600002</v>
      </c>
      <c r="U121" s="43">
        <f t="shared" si="87"/>
        <v>2017.1466168320003</v>
      </c>
      <c r="V121" s="43">
        <f t="shared" si="87"/>
        <v>2013.5084201983998</v>
      </c>
    </row>
    <row r="122" spans="1:22" x14ac:dyDescent="0.2">
      <c r="A122" s="26" t="s">
        <v>193</v>
      </c>
      <c r="B122" s="8"/>
      <c r="C122"/>
      <c r="H122" s="78">
        <f>'Cash flow-Historic'!B54</f>
        <v>-853</v>
      </c>
      <c r="I122" s="78">
        <f>'Cash flow-Historic'!C54</f>
        <v>-492</v>
      </c>
      <c r="J122" s="78">
        <f>'Cash flow-Historic'!D54</f>
        <v>-998</v>
      </c>
      <c r="K122" s="78">
        <f>'Cash flow-Historic'!E54</f>
        <v>-727</v>
      </c>
      <c r="L122" s="78">
        <f>'Cash flow-Historic'!F54</f>
        <v>-953</v>
      </c>
      <c r="M122" s="129">
        <f>AVERAGE(H122:L122)</f>
        <v>-804.6</v>
      </c>
      <c r="N122" s="129">
        <f t="shared" si="87"/>
        <v>-794.92</v>
      </c>
      <c r="O122" s="129">
        <f t="shared" si="87"/>
        <v>-855.50399999999991</v>
      </c>
      <c r="P122" s="129">
        <f t="shared" si="87"/>
        <v>-827.00479999999993</v>
      </c>
      <c r="Q122" s="129">
        <f t="shared" si="87"/>
        <v>-847.00576000000001</v>
      </c>
      <c r="R122" s="129">
        <f t="shared" si="87"/>
        <v>-825.80691200000001</v>
      </c>
      <c r="S122" s="129">
        <f t="shared" si="87"/>
        <v>-830.04829439999992</v>
      </c>
      <c r="T122" s="129">
        <f t="shared" si="87"/>
        <v>-837.07395327999984</v>
      </c>
      <c r="U122" s="129">
        <f t="shared" si="87"/>
        <v>-833.38794393600006</v>
      </c>
      <c r="V122" s="129">
        <f t="shared" si="87"/>
        <v>-834.66457272320008</v>
      </c>
    </row>
    <row r="123" spans="1:22" x14ac:dyDescent="0.2">
      <c r="A123" s="26" t="s">
        <v>196</v>
      </c>
      <c r="B123" s="8"/>
      <c r="H123" s="76">
        <v>0</v>
      </c>
      <c r="I123" s="76">
        <v>0</v>
      </c>
      <c r="J123" s="76">
        <v>0</v>
      </c>
      <c r="K123" s="76">
        <v>0</v>
      </c>
      <c r="L123" s="76">
        <v>0</v>
      </c>
      <c r="M123" s="43">
        <v>0</v>
      </c>
      <c r="N123" s="43">
        <v>0</v>
      </c>
      <c r="O123" s="43">
        <v>0</v>
      </c>
      <c r="P123" s="43">
        <v>0</v>
      </c>
      <c r="Q123" s="43">
        <v>0</v>
      </c>
      <c r="R123" s="43">
        <v>0</v>
      </c>
      <c r="S123" s="43">
        <v>0</v>
      </c>
      <c r="T123" s="43">
        <v>0</v>
      </c>
      <c r="U123" s="43">
        <v>0</v>
      </c>
      <c r="V123" s="43">
        <v>0</v>
      </c>
    </row>
    <row r="124" spans="1:22" x14ac:dyDescent="0.2">
      <c r="A124" s="26" t="s">
        <v>194</v>
      </c>
      <c r="B124" s="8"/>
      <c r="C124"/>
      <c r="H124" s="76">
        <f>SUM('Balance Sheet- Historic'!C45,'Balance Sheet- Historic'!C38)</f>
        <v>0</v>
      </c>
      <c r="I124" s="76">
        <f>SUM('Balance Sheet- Historic'!D45,'Balance Sheet- Historic'!D38)</f>
        <v>974</v>
      </c>
      <c r="J124" s="76">
        <f>SUM('Balance Sheet- Historic'!E45,'Balance Sheet- Historic'!E38)</f>
        <v>1562</v>
      </c>
      <c r="K124" s="76">
        <f>SUM('Balance Sheet- Historic'!F45,'Balance Sheet- Historic'!F38)</f>
        <v>2462</v>
      </c>
      <c r="L124" s="76">
        <f>SUM('Balance Sheet- Historic'!G45,'Balance Sheet- Historic'!G38)</f>
        <v>4513</v>
      </c>
      <c r="M124" s="43">
        <f>SUM(M120:M123)</f>
        <v>5415.5999999999995</v>
      </c>
      <c r="N124" s="43">
        <f t="shared" ref="N124:V124" si="88">SUM(N120:N123)</f>
        <v>6498.7199999999993</v>
      </c>
      <c r="O124" s="43">
        <f t="shared" si="88"/>
        <v>7603.6639999999998</v>
      </c>
      <c r="P124" s="43">
        <f t="shared" si="88"/>
        <v>8811.996799999999</v>
      </c>
      <c r="Q124" s="43">
        <f t="shared" si="88"/>
        <v>10081.996159999999</v>
      </c>
      <c r="R124" s="43">
        <f t="shared" si="88"/>
        <v>11195.795391999998</v>
      </c>
      <c r="S124" s="43">
        <f t="shared" si="88"/>
        <v>12351.834470399999</v>
      </c>
      <c r="T124" s="43">
        <f t="shared" si="88"/>
        <v>13522.45736448</v>
      </c>
      <c r="U124" s="43">
        <f t="shared" si="88"/>
        <v>14706.216037376</v>
      </c>
      <c r="V124" s="43">
        <f t="shared" si="88"/>
        <v>15885.0598848512</v>
      </c>
    </row>
    <row r="125" spans="1:22" x14ac:dyDescent="0.2">
      <c r="C125"/>
    </row>
    <row r="126" spans="1:22" x14ac:dyDescent="0.2">
      <c r="A126" s="70" t="s">
        <v>195</v>
      </c>
      <c r="H126" s="76">
        <f>SUM(H124,H117)</f>
        <v>11541</v>
      </c>
      <c r="I126" s="76">
        <f t="shared" ref="I126:V126" si="89">SUM(I124,I117)</f>
        <v>974</v>
      </c>
      <c r="J126" s="76">
        <f t="shared" si="89"/>
        <v>1562</v>
      </c>
      <c r="K126" s="76">
        <f t="shared" si="89"/>
        <v>10203</v>
      </c>
      <c r="L126" s="76">
        <f t="shared" si="89"/>
        <v>61998</v>
      </c>
      <c r="M126" s="130">
        <f t="shared" si="89"/>
        <v>62900.6</v>
      </c>
      <c r="N126" s="130">
        <f t="shared" si="89"/>
        <v>63983.72</v>
      </c>
      <c r="O126" s="130">
        <f t="shared" si="89"/>
        <v>65088.663999999997</v>
      </c>
      <c r="P126" s="130">
        <f t="shared" si="89"/>
        <v>66296.996799999994</v>
      </c>
      <c r="Q126" s="130">
        <f t="shared" si="89"/>
        <v>67566.996159999995</v>
      </c>
      <c r="R126" s="130">
        <f t="shared" si="89"/>
        <v>68680.795392</v>
      </c>
      <c r="S126" s="130">
        <f t="shared" si="89"/>
        <v>69836.834470400005</v>
      </c>
      <c r="T126" s="130">
        <f t="shared" si="89"/>
        <v>71007.457364479997</v>
      </c>
      <c r="U126" s="130">
        <f t="shared" si="89"/>
        <v>72191.216037375998</v>
      </c>
      <c r="V126" s="130">
        <f t="shared" si="89"/>
        <v>73370.059884851202</v>
      </c>
    </row>
    <row r="128" spans="1:22" s="38" customFormat="1" ht="20" customHeight="1" x14ac:dyDescent="0.2">
      <c r="A128" s="69" t="s">
        <v>309</v>
      </c>
      <c r="B128" s="36"/>
      <c r="C128" s="37"/>
      <c r="D128" s="37"/>
      <c r="E128" s="37"/>
      <c r="F128" s="37"/>
      <c r="G128" s="37"/>
      <c r="H128" s="37"/>
      <c r="I128" s="37"/>
      <c r="J128" s="37"/>
      <c r="K128" s="37"/>
      <c r="L128" s="37"/>
      <c r="M128" s="37"/>
      <c r="N128" s="37"/>
      <c r="O128" s="37"/>
      <c r="P128" s="37"/>
      <c r="Q128" s="37"/>
      <c r="R128" s="37"/>
      <c r="S128" s="37"/>
      <c r="T128" s="37"/>
      <c r="U128" s="37"/>
      <c r="V128" s="37"/>
    </row>
    <row r="129" spans="1:24" x14ac:dyDescent="0.2">
      <c r="A129" s="26" t="s">
        <v>306</v>
      </c>
      <c r="H129" s="76">
        <f>'Cash flow-Historic'!B62</f>
        <v>2899</v>
      </c>
      <c r="I129" s="76">
        <f>'Cash flow-Historic'!C62</f>
        <v>40970</v>
      </c>
      <c r="J129" s="76">
        <f>'Cash flow-Historic'!D62</f>
        <v>86260</v>
      </c>
      <c r="K129" s="76">
        <f>'Cash flow-Historic'!E62</f>
        <v>32986</v>
      </c>
      <c r="L129" s="76">
        <f>'Cash flow-Historic'!F62</f>
        <v>12915</v>
      </c>
      <c r="M129" s="155">
        <f t="shared" ref="M129:V129" si="90">L154</f>
        <v>34192</v>
      </c>
      <c r="N129" s="155">
        <f t="shared" si="90"/>
        <v>77673.822308409202</v>
      </c>
      <c r="O129" s="155">
        <f t="shared" si="90"/>
        <v>103545.56972691801</v>
      </c>
      <c r="P129" s="155">
        <f t="shared" si="90"/>
        <v>146882.86556571643</v>
      </c>
      <c r="Q129" s="155">
        <f t="shared" si="90"/>
        <v>204865.85682470209</v>
      </c>
      <c r="R129" s="155">
        <f t="shared" si="90"/>
        <v>279346.26854662958</v>
      </c>
      <c r="S129" s="155">
        <f t="shared" si="90"/>
        <v>369422.65073139191</v>
      </c>
      <c r="T129" s="155">
        <f t="shared" si="90"/>
        <v>482655.667871212</v>
      </c>
      <c r="U129" s="155">
        <f t="shared" si="90"/>
        <v>608573.57501530659</v>
      </c>
      <c r="V129" s="155">
        <f t="shared" si="90"/>
        <v>753209.62325935974</v>
      </c>
    </row>
    <row r="130" spans="1:24" x14ac:dyDescent="0.2">
      <c r="A130" s="26" t="s">
        <v>327</v>
      </c>
      <c r="H130" s="76">
        <f>FS!D72</f>
        <v>16941</v>
      </c>
      <c r="I130" s="76">
        <f>FS!E72</f>
        <v>49444</v>
      </c>
      <c r="J130" s="76">
        <f>FS!F72</f>
        <v>41731</v>
      </c>
      <c r="K130" s="76">
        <f>FS!G72</f>
        <v>55114</v>
      </c>
      <c r="L130" s="76">
        <f>FS!H72</f>
        <v>60511</v>
      </c>
      <c r="M130" s="155">
        <f>FS!I72</f>
        <v>53807.143977773609</v>
      </c>
      <c r="N130" s="155">
        <f>FS!J72</f>
        <v>67846.897558017168</v>
      </c>
      <c r="O130" s="155">
        <f>FS!K72</f>
        <v>115169.62746058404</v>
      </c>
      <c r="P130" s="155">
        <f>FS!L72</f>
        <v>161334.63508261507</v>
      </c>
      <c r="Q130" s="155">
        <f>FS!M72</f>
        <v>210914.49244969478</v>
      </c>
      <c r="R130" s="155">
        <f>FS!N72</f>
        <v>264738.10305734025</v>
      </c>
      <c r="S130" s="155">
        <f>FS!O72</f>
        <v>305906.53541184263</v>
      </c>
      <c r="T130" s="155">
        <f>FS!P72</f>
        <v>350298.0391902416</v>
      </c>
      <c r="U130" s="155">
        <f>FS!Q72</f>
        <v>396240.4148873766</v>
      </c>
      <c r="V130" s="155">
        <f>FS!R72</f>
        <v>445370.52255649539</v>
      </c>
    </row>
    <row r="131" spans="1:24" ht="15" customHeight="1" x14ac:dyDescent="0.2">
      <c r="A131" s="26" t="s">
        <v>133</v>
      </c>
      <c r="H131" s="76">
        <f t="shared" ref="H131:V131" si="91">H48</f>
        <v>23201</v>
      </c>
      <c r="I131" s="76">
        <f t="shared" si="91"/>
        <v>21719</v>
      </c>
      <c r="J131" s="76">
        <f t="shared" si="91"/>
        <v>21059</v>
      </c>
      <c r="K131" s="76">
        <f t="shared" si="91"/>
        <v>21190</v>
      </c>
      <c r="L131" s="76">
        <f t="shared" si="91"/>
        <v>23298</v>
      </c>
      <c r="M131" s="155">
        <f t="shared" si="91"/>
        <v>31361.449178577066</v>
      </c>
      <c r="N131" s="155">
        <f t="shared" si="91"/>
        <v>33556.750621077466</v>
      </c>
      <c r="O131" s="155">
        <f t="shared" si="91"/>
        <v>35737.9394114475</v>
      </c>
      <c r="P131" s="155">
        <f t="shared" si="91"/>
        <v>38060.905473191589</v>
      </c>
      <c r="Q131" s="155">
        <f t="shared" si="91"/>
        <v>40344.559801583091</v>
      </c>
      <c r="R131" s="155">
        <f t="shared" si="91"/>
        <v>42765.233389678084</v>
      </c>
      <c r="S131" s="155">
        <f t="shared" si="91"/>
        <v>45117.321226110369</v>
      </c>
      <c r="T131" s="155">
        <f t="shared" si="91"/>
        <v>47598.773893546437</v>
      </c>
      <c r="U131" s="155">
        <f t="shared" si="91"/>
        <v>49978.71258822376</v>
      </c>
      <c r="V131" s="155">
        <f t="shared" si="91"/>
        <v>52477.648217634953</v>
      </c>
    </row>
    <row r="132" spans="1:24" ht="15" customHeight="1" x14ac:dyDescent="0.2">
      <c r="A132" s="26" t="s">
        <v>328</v>
      </c>
      <c r="B132" s="53"/>
      <c r="C132" s="177"/>
      <c r="D132" s="177"/>
      <c r="E132" s="21"/>
      <c r="F132" s="21"/>
      <c r="G132" s="21"/>
      <c r="H132" s="158">
        <f>H135-H130-H131-H133-H134</f>
        <v>30114</v>
      </c>
      <c r="I132" s="158">
        <f t="shared" ref="I132:L132" si="92">I135-I130-I131-I133-I134</f>
        <v>67898</v>
      </c>
      <c r="J132" s="158">
        <f t="shared" si="92"/>
        <v>-117321</v>
      </c>
      <c r="K132" s="158">
        <f t="shared" si="92"/>
        <v>-117076</v>
      </c>
      <c r="L132" s="158">
        <f t="shared" si="92"/>
        <v>-100450</v>
      </c>
      <c r="M132" s="155">
        <v>23345</v>
      </c>
      <c r="N132" s="155">
        <v>-38216</v>
      </c>
      <c r="O132" s="155">
        <v>-34306</v>
      </c>
      <c r="P132" s="155">
        <v>-40405</v>
      </c>
      <c r="Q132" s="155">
        <v>-40284</v>
      </c>
      <c r="R132" s="155">
        <v>-45308</v>
      </c>
      <c r="S132" s="155">
        <v>-38544</v>
      </c>
      <c r="T132" s="155">
        <v>-45882</v>
      </c>
      <c r="U132" s="155">
        <v>-41836</v>
      </c>
      <c r="V132" s="155">
        <v>-44507</v>
      </c>
    </row>
    <row r="133" spans="1:24" x14ac:dyDescent="0.2">
      <c r="A133" s="26" t="s">
        <v>329</v>
      </c>
      <c r="H133" s="76">
        <f t="shared" ref="H133:V133" si="93">H89</f>
        <v>0</v>
      </c>
      <c r="I133" s="76">
        <f t="shared" si="93"/>
        <v>-36092</v>
      </c>
      <c r="J133" s="76">
        <f t="shared" si="93"/>
        <v>56548</v>
      </c>
      <c r="K133" s="76">
        <f t="shared" si="93"/>
        <v>61598</v>
      </c>
      <c r="L133" s="76">
        <f t="shared" si="93"/>
        <v>59338</v>
      </c>
      <c r="M133" s="155">
        <f t="shared" si="93"/>
        <v>-17222.761591017828</v>
      </c>
      <c r="N133" s="155">
        <f t="shared" si="93"/>
        <v>20623.94257932232</v>
      </c>
      <c r="O133" s="155">
        <f t="shared" si="93"/>
        <v>17064.752388841065</v>
      </c>
      <c r="P133" s="155">
        <f t="shared" si="93"/>
        <v>20899.898776661663</v>
      </c>
      <c r="Q133" s="155">
        <f t="shared" si="93"/>
        <v>19302.807912524731</v>
      </c>
      <c r="R133" s="155">
        <f t="shared" si="93"/>
        <v>20405.638431782252</v>
      </c>
      <c r="S133" s="155">
        <f t="shared" si="93"/>
        <v>21567.533298774681</v>
      </c>
      <c r="T133" s="155">
        <f t="shared" si="93"/>
        <v>25205.068803474598</v>
      </c>
      <c r="U133" s="155">
        <f t="shared" si="93"/>
        <v>23029.894030018244</v>
      </c>
      <c r="V133" s="155">
        <f t="shared" si="93"/>
        <v>24181.388731519051</v>
      </c>
    </row>
    <row r="134" spans="1:24" x14ac:dyDescent="0.2">
      <c r="A134" s="26" t="s">
        <v>330</v>
      </c>
      <c r="H134" s="76">
        <f>'Cash flow-Historic'!B38</f>
        <v>-8228</v>
      </c>
      <c r="I134" s="76">
        <f>'Cash flow-Historic'!C38</f>
        <v>-13007</v>
      </c>
      <c r="J134" s="76">
        <f>'Cash flow-Historic'!D38</f>
        <v>-13974</v>
      </c>
      <c r="K134" s="76">
        <f>'Cash flow-Historic'!E38</f>
        <v>-13876</v>
      </c>
      <c r="L134" s="76">
        <f>'Cash flow-Historic'!F38</f>
        <v>-19192</v>
      </c>
      <c r="M134" s="155">
        <f>-M130*Assumptions!$C$107</f>
        <v>-16142.143193332082</v>
      </c>
      <c r="N134" s="155">
        <f>-N130*Assumptions!$C$107</f>
        <v>-20354.06926740515</v>
      </c>
      <c r="O134" s="155">
        <f>-O130*Assumptions!$C$107</f>
        <v>-34550.888238175212</v>
      </c>
      <c r="P134" s="155">
        <f>-P130*Assumptions!$C$107</f>
        <v>-48400.390524784518</v>
      </c>
      <c r="Q134" s="155">
        <f>-Q130*Assumptions!$C$107</f>
        <v>-63274.347734908428</v>
      </c>
      <c r="R134" s="155">
        <f>-R130*Assumptions!$C$107</f>
        <v>-79421.430917202073</v>
      </c>
      <c r="S134" s="155">
        <f>-S130*Assumptions!$C$107</f>
        <v>-91771.96062355279</v>
      </c>
      <c r="T134" s="155">
        <f>-T130*Assumptions!$C$107</f>
        <v>-105089.41175707248</v>
      </c>
      <c r="U134" s="155">
        <f>-U130*Assumptions!$C$107</f>
        <v>-118872.12446621298</v>
      </c>
      <c r="V134" s="155">
        <f>-V130*Assumptions!$C$107</f>
        <v>-133611.15676694861</v>
      </c>
    </row>
    <row r="135" spans="1:24" x14ac:dyDescent="0.2">
      <c r="A135" s="26" t="s">
        <v>310</v>
      </c>
      <c r="H135" s="76">
        <f>'Cash flow-Historic'!B39</f>
        <v>62028</v>
      </c>
      <c r="I135" s="76">
        <f>'Cash flow-Historic'!C39</f>
        <v>89962</v>
      </c>
      <c r="J135" s="76">
        <f>'Cash flow-Historic'!D39</f>
        <v>-11957</v>
      </c>
      <c r="K135" s="76">
        <f>'Cash flow-Historic'!E39</f>
        <v>6950</v>
      </c>
      <c r="L135" s="76">
        <f>'Cash flow-Historic'!F39</f>
        <v>23505</v>
      </c>
      <c r="M135" s="155">
        <f>SUM(M130:M134)</f>
        <v>75148.688372000761</v>
      </c>
      <c r="N135" s="155">
        <f t="shared" ref="N135:V135" si="94">SUM(N130:N134)</f>
        <v>63457.521491011794</v>
      </c>
      <c r="O135" s="155">
        <f t="shared" si="94"/>
        <v>99115.43102269739</v>
      </c>
      <c r="P135" s="155">
        <f t="shared" si="94"/>
        <v>131490.04880768381</v>
      </c>
      <c r="Q135" s="155">
        <f t="shared" si="94"/>
        <v>167003.51242889417</v>
      </c>
      <c r="R135" s="155">
        <f t="shared" si="94"/>
        <v>203179.54396159848</v>
      </c>
      <c r="S135" s="155">
        <f t="shared" si="94"/>
        <v>242275.42931317491</v>
      </c>
      <c r="T135" s="155">
        <f t="shared" si="94"/>
        <v>272130.47013019014</v>
      </c>
      <c r="U135" s="155">
        <f t="shared" si="94"/>
        <v>308540.89703940559</v>
      </c>
      <c r="V135" s="155">
        <f t="shared" si="94"/>
        <v>343911.40273870074</v>
      </c>
    </row>
    <row r="137" spans="1:24" ht="15" customHeight="1" x14ac:dyDescent="0.2">
      <c r="A137" s="19" t="s">
        <v>240</v>
      </c>
      <c r="H137" s="76">
        <f>'Cash flow-Historic'!B24</f>
        <v>4446</v>
      </c>
      <c r="I137" s="76">
        <f>'Cash flow-Historic'!C24</f>
        <v>0</v>
      </c>
      <c r="J137" s="76">
        <f>'Cash flow-Historic'!D24</f>
        <v>3312</v>
      </c>
      <c r="K137" s="76">
        <f>'Cash flow-Historic'!E24</f>
        <v>0</v>
      </c>
      <c r="L137" s="76">
        <f>'Cash flow-Historic'!F24</f>
        <v>0</v>
      </c>
      <c r="M137" s="155"/>
      <c r="N137" s="155"/>
      <c r="O137" s="155"/>
      <c r="P137" s="155"/>
      <c r="Q137" s="155"/>
      <c r="R137" s="155"/>
      <c r="S137" s="155"/>
      <c r="T137" s="155"/>
      <c r="U137" s="155"/>
      <c r="V137" s="155"/>
    </row>
    <row r="138" spans="1:24" x14ac:dyDescent="0.2">
      <c r="A138" s="19" t="s">
        <v>331</v>
      </c>
      <c r="H138" s="76">
        <f>'Cash flow-Historic'!B25</f>
        <v>1776</v>
      </c>
      <c r="I138" s="76">
        <f>'Cash flow-Historic'!C25</f>
        <v>0</v>
      </c>
      <c r="J138" s="76">
        <f>'Cash flow-Historic'!D25</f>
        <v>0</v>
      </c>
      <c r="K138" s="76">
        <f>'Cash flow-Historic'!E25</f>
        <v>0</v>
      </c>
      <c r="L138" s="76">
        <f>'Cash flow-Historic'!F25</f>
        <v>0</v>
      </c>
      <c r="M138" s="155"/>
      <c r="N138" s="155"/>
      <c r="O138" s="155"/>
      <c r="P138" s="155"/>
      <c r="Q138" s="155"/>
      <c r="R138" s="155"/>
      <c r="S138" s="155"/>
      <c r="T138" s="155"/>
      <c r="U138" s="155"/>
      <c r="V138" s="155"/>
    </row>
    <row r="139" spans="1:24" x14ac:dyDescent="0.2">
      <c r="A139" s="19" t="s">
        <v>332</v>
      </c>
      <c r="H139" s="76">
        <f>'Cash flow-Historic'!B26</f>
        <v>-5500</v>
      </c>
      <c r="I139" s="76">
        <f>'Cash flow-Historic'!C26</f>
        <v>0</v>
      </c>
      <c r="J139" s="76">
        <f>'Cash flow-Historic'!D26</f>
        <v>0</v>
      </c>
      <c r="K139" s="76">
        <f>'Cash flow-Historic'!E26</f>
        <v>0</v>
      </c>
      <c r="L139" s="76">
        <f>'Cash flow-Historic'!F26</f>
        <v>0</v>
      </c>
      <c r="M139" s="155"/>
      <c r="N139" s="155"/>
      <c r="O139" s="155"/>
      <c r="P139" s="155"/>
      <c r="Q139" s="155"/>
      <c r="R139" s="155"/>
      <c r="S139" s="155"/>
      <c r="T139" s="155"/>
      <c r="U139" s="155"/>
      <c r="V139" s="155"/>
    </row>
    <row r="140" spans="1:24" x14ac:dyDescent="0.2">
      <c r="A140" s="26" t="s">
        <v>243</v>
      </c>
      <c r="H140" s="76">
        <f>'Cash flow-Historic'!B27</f>
        <v>2244</v>
      </c>
      <c r="I140" s="76">
        <f>'Cash flow-Historic'!C27</f>
        <v>1464</v>
      </c>
      <c r="J140" s="76">
        <f>'Cash flow-Historic'!D27</f>
        <v>443</v>
      </c>
      <c r="K140" s="76">
        <f>'Cash flow-Historic'!E27</f>
        <v>670</v>
      </c>
      <c r="L140" s="76">
        <f>'Cash flow-Historic'!F27</f>
        <v>1208</v>
      </c>
      <c r="M140" s="155"/>
      <c r="N140" s="155"/>
      <c r="O140" s="155"/>
      <c r="P140" s="155"/>
      <c r="Q140" s="155"/>
      <c r="R140" s="155"/>
      <c r="S140" s="155"/>
      <c r="T140" s="155"/>
      <c r="U140" s="155"/>
      <c r="V140" s="155"/>
      <c r="X140" s="19">
        <f>FS!U51</f>
        <v>0</v>
      </c>
    </row>
    <row r="141" spans="1:24" x14ac:dyDescent="0.2">
      <c r="A141" s="19" t="s">
        <v>244</v>
      </c>
      <c r="H141" s="76">
        <f>'Cash flow-Historic'!B28</f>
        <v>-462</v>
      </c>
      <c r="I141" s="76">
        <f>'Cash flow-Historic'!C28</f>
        <v>-1528</v>
      </c>
      <c r="J141" s="76">
        <f>'Cash flow-Historic'!D28</f>
        <v>-3341</v>
      </c>
      <c r="K141" s="76">
        <f>'Cash flow-Historic'!E28</f>
        <v>-4535</v>
      </c>
      <c r="L141" s="76">
        <f>'Cash flow-Historic'!F28</f>
        <v>-1875</v>
      </c>
      <c r="M141" s="155"/>
      <c r="N141" s="155"/>
      <c r="O141" s="155"/>
      <c r="P141" s="155"/>
      <c r="Q141" s="155"/>
      <c r="R141" s="155"/>
      <c r="S141" s="155"/>
      <c r="T141" s="155"/>
      <c r="U141" s="155"/>
      <c r="V141" s="155"/>
    </row>
    <row r="142" spans="1:24" x14ac:dyDescent="0.2">
      <c r="H142" s="76"/>
      <c r="I142" s="76"/>
      <c r="J142" s="76"/>
      <c r="K142" s="76"/>
      <c r="L142" s="76"/>
      <c r="M142" s="155"/>
      <c r="N142" s="155"/>
      <c r="O142" s="155"/>
      <c r="P142" s="155"/>
      <c r="Q142" s="155"/>
      <c r="R142" s="155"/>
      <c r="S142" s="155"/>
      <c r="T142" s="155"/>
      <c r="U142" s="155"/>
      <c r="V142" s="155"/>
    </row>
    <row r="143" spans="1:24" x14ac:dyDescent="0.2">
      <c r="H143" s="76"/>
      <c r="I143" s="76"/>
      <c r="J143" s="76"/>
      <c r="K143" s="76"/>
      <c r="L143" s="76"/>
      <c r="M143" s="155"/>
      <c r="N143" s="155"/>
      <c r="O143" s="155"/>
      <c r="P143" s="155"/>
      <c r="Q143" s="155"/>
      <c r="R143" s="155"/>
      <c r="S143" s="155"/>
      <c r="T143" s="155"/>
      <c r="U143" s="155"/>
      <c r="V143" s="155"/>
    </row>
    <row r="144" spans="1:24" s="38" customFormat="1" ht="20" customHeight="1" x14ac:dyDescent="0.2">
      <c r="A144" s="69" t="s">
        <v>142</v>
      </c>
      <c r="B144" s="36"/>
      <c r="C144" s="37"/>
      <c r="D144" s="37"/>
      <c r="E144" s="37"/>
      <c r="F144" s="37"/>
      <c r="G144" s="37"/>
      <c r="H144" s="37"/>
      <c r="I144" s="37"/>
      <c r="J144" s="37"/>
      <c r="K144" s="37"/>
      <c r="L144" s="37"/>
      <c r="M144" s="37"/>
      <c r="N144" s="37"/>
      <c r="O144" s="37"/>
      <c r="P144" s="37"/>
      <c r="Q144" s="37"/>
      <c r="R144" s="37"/>
      <c r="S144" s="37"/>
      <c r="T144" s="37"/>
      <c r="U144" s="37"/>
      <c r="V144" s="37"/>
    </row>
    <row r="145" spans="1:22" x14ac:dyDescent="0.2">
      <c r="A145" s="26" t="s">
        <v>141</v>
      </c>
      <c r="B145" s="53"/>
      <c r="C145" s="21"/>
      <c r="D145" s="21"/>
      <c r="E145" s="21"/>
      <c r="F145" s="21"/>
      <c r="G145" s="21"/>
      <c r="H145" s="76">
        <f>H93</f>
        <v>20282</v>
      </c>
      <c r="I145" s="76">
        <f t="shared" ref="I145:V145" si="95">I93</f>
        <v>-16174</v>
      </c>
      <c r="J145" s="76">
        <f t="shared" si="95"/>
        <v>-11595</v>
      </c>
      <c r="K145" s="76">
        <f t="shared" si="95"/>
        <v>-23200</v>
      </c>
      <c r="L145" s="76">
        <f t="shared" si="95"/>
        <v>-28703</v>
      </c>
      <c r="M145" s="155">
        <f t="shared" si="95"/>
        <v>-11125.805652544201</v>
      </c>
      <c r="N145" s="155">
        <f t="shared" si="95"/>
        <v>-11904.612048222296</v>
      </c>
      <c r="O145" s="155">
        <f t="shared" si="95"/>
        <v>-12678.411831356745</v>
      </c>
      <c r="P145" s="155">
        <f t="shared" si="95"/>
        <v>-13502.508600394935</v>
      </c>
      <c r="Q145" s="155">
        <f t="shared" si="95"/>
        <v>-14312.659116418632</v>
      </c>
      <c r="R145" s="155">
        <f t="shared" si="95"/>
        <v>-15171.418663403751</v>
      </c>
      <c r="S145" s="155">
        <f t="shared" si="95"/>
        <v>-16005.846689890956</v>
      </c>
      <c r="T145" s="155">
        <f t="shared" si="95"/>
        <v>-16886.168257834957</v>
      </c>
      <c r="U145" s="155">
        <f t="shared" si="95"/>
        <v>-17730.476670726704</v>
      </c>
      <c r="V145" s="155">
        <f t="shared" si="95"/>
        <v>-18617.000504263044</v>
      </c>
    </row>
    <row r="146" spans="1:22" x14ac:dyDescent="0.2">
      <c r="A146" s="26" t="s">
        <v>311</v>
      </c>
      <c r="H146" s="76">
        <f>FS!D84</f>
        <v>4911</v>
      </c>
      <c r="I146" s="76">
        <f>FS!E84</f>
        <v>1348</v>
      </c>
      <c r="J146" s="76">
        <f>FS!F84</f>
        <v>3545</v>
      </c>
      <c r="K146" s="76">
        <f>FS!G84</f>
        <v>4369</v>
      </c>
      <c r="L146" s="76">
        <f>FS!H84</f>
        <v>1888</v>
      </c>
      <c r="M146" s="155">
        <v>0</v>
      </c>
      <c r="N146" s="155">
        <f>FS!J84</f>
        <v>0</v>
      </c>
      <c r="O146" s="155">
        <f>FS!K84</f>
        <v>0</v>
      </c>
      <c r="P146" s="155">
        <f>FS!L84</f>
        <v>0</v>
      </c>
      <c r="Q146" s="155">
        <f>FS!M84</f>
        <v>0</v>
      </c>
      <c r="R146" s="155">
        <f>FS!N84</f>
        <v>0</v>
      </c>
      <c r="S146" s="155">
        <f>FS!O84</f>
        <v>0</v>
      </c>
      <c r="T146" s="155">
        <f>FS!P84</f>
        <v>0</v>
      </c>
      <c r="U146" s="155">
        <f>FS!Q84</f>
        <v>0</v>
      </c>
      <c r="V146" s="155">
        <f>FS!R84</f>
        <v>0</v>
      </c>
    </row>
    <row r="147" spans="1:22" x14ac:dyDescent="0.2">
      <c r="A147" s="26"/>
      <c r="H147" s="76"/>
      <c r="I147" s="76"/>
      <c r="J147" s="76"/>
      <c r="K147" s="76"/>
      <c r="L147" s="76"/>
      <c r="M147" s="155"/>
      <c r="N147" s="155"/>
      <c r="O147" s="155"/>
      <c r="P147" s="155"/>
      <c r="Q147" s="155"/>
      <c r="R147" s="155"/>
      <c r="S147" s="155"/>
      <c r="T147" s="155"/>
      <c r="U147" s="155"/>
      <c r="V147" s="155"/>
    </row>
    <row r="148" spans="1:22" x14ac:dyDescent="0.2">
      <c r="A148" s="26" t="s">
        <v>312</v>
      </c>
      <c r="H148" s="76">
        <f>FS!D90</f>
        <v>1459</v>
      </c>
      <c r="I148" s="76">
        <f>FS!E90</f>
        <v>-25017</v>
      </c>
      <c r="J148" s="76">
        <f>FS!F90</f>
        <v>0</v>
      </c>
      <c r="K148" s="76">
        <f>FS!G90</f>
        <v>7741</v>
      </c>
      <c r="L148" s="76">
        <f>FS!H90</f>
        <v>49744</v>
      </c>
      <c r="M148" s="155">
        <f>FS!I90</f>
        <v>0</v>
      </c>
      <c r="N148" s="155">
        <f>FS!J90</f>
        <v>0</v>
      </c>
      <c r="O148" s="155">
        <f>FS!K90</f>
        <v>0</v>
      </c>
      <c r="P148" s="155">
        <f>FS!L90</f>
        <v>0</v>
      </c>
      <c r="Q148" s="155">
        <f>FS!M90</f>
        <v>0</v>
      </c>
      <c r="R148" s="155">
        <f>FS!N90</f>
        <v>0</v>
      </c>
      <c r="S148" s="155">
        <f>FS!O90</f>
        <v>0</v>
      </c>
      <c r="T148" s="155">
        <f>FS!P90</f>
        <v>0</v>
      </c>
      <c r="U148" s="155">
        <f>FS!Q90</f>
        <v>0</v>
      </c>
      <c r="V148" s="155">
        <f>FS!R90</f>
        <v>0</v>
      </c>
    </row>
    <row r="149" spans="1:22" x14ac:dyDescent="0.2">
      <c r="A149" s="26" t="s">
        <v>324</v>
      </c>
      <c r="H149" s="76">
        <f>'Cash flow-Historic'!B54</f>
        <v>-853</v>
      </c>
      <c r="I149" s="76">
        <f>'Cash flow-Historic'!C54</f>
        <v>-492</v>
      </c>
      <c r="J149" s="76">
        <f>'Cash flow-Historic'!D54</f>
        <v>-998</v>
      </c>
      <c r="K149" s="76">
        <f>'Cash flow-Historic'!E54</f>
        <v>-727</v>
      </c>
      <c r="L149" s="76">
        <f>'Cash flow-Historic'!F54</f>
        <v>-953</v>
      </c>
      <c r="M149" s="155">
        <f t="shared" ref="M149:V149" si="96">M122</f>
        <v>-804.6</v>
      </c>
      <c r="N149" s="155">
        <f t="shared" si="96"/>
        <v>-794.92</v>
      </c>
      <c r="O149" s="155">
        <f t="shared" si="96"/>
        <v>-855.50399999999991</v>
      </c>
      <c r="P149" s="155">
        <f t="shared" si="96"/>
        <v>-827.00479999999993</v>
      </c>
      <c r="Q149" s="155">
        <f t="shared" si="96"/>
        <v>-847.00576000000001</v>
      </c>
      <c r="R149" s="155">
        <f t="shared" si="96"/>
        <v>-825.80691200000001</v>
      </c>
      <c r="S149" s="155">
        <f t="shared" si="96"/>
        <v>-830.04829439999992</v>
      </c>
      <c r="T149" s="155">
        <f t="shared" si="96"/>
        <v>-837.07395327999984</v>
      </c>
      <c r="U149" s="155">
        <f t="shared" si="96"/>
        <v>-833.38794393600006</v>
      </c>
      <c r="V149" s="155">
        <f t="shared" si="96"/>
        <v>-834.66457272320008</v>
      </c>
    </row>
    <row r="150" spans="1:22" x14ac:dyDescent="0.2">
      <c r="A150" s="26" t="s">
        <v>313</v>
      </c>
      <c r="H150" s="76">
        <f>H159</f>
        <v>-6610</v>
      </c>
      <c r="I150" s="76">
        <f t="shared" ref="I150:L150" si="97">I159</f>
        <v>-1344</v>
      </c>
      <c r="J150" s="76">
        <f t="shared" si="97"/>
        <v>-27785</v>
      </c>
      <c r="K150" s="76">
        <f t="shared" si="97"/>
        <v>-19852</v>
      </c>
      <c r="L150" s="76">
        <f t="shared" si="97"/>
        <v>-26463</v>
      </c>
      <c r="M150" s="155">
        <f>M159</f>
        <v>-19736.460411047359</v>
      </c>
      <c r="N150" s="155">
        <f t="shared" ref="N150:V150" si="98">N159</f>
        <v>-24886.242024280698</v>
      </c>
      <c r="O150" s="155">
        <f t="shared" si="98"/>
        <v>-42244.219352542226</v>
      </c>
      <c r="P150" s="155">
        <f t="shared" si="98"/>
        <v>-59177.544148303219</v>
      </c>
      <c r="Q150" s="155">
        <f t="shared" si="98"/>
        <v>-77363.435830548056</v>
      </c>
      <c r="R150" s="155">
        <f t="shared" si="98"/>
        <v>-97105.9362014324</v>
      </c>
      <c r="S150" s="155">
        <f t="shared" si="98"/>
        <v>-112206.51718906389</v>
      </c>
      <c r="T150" s="155">
        <f t="shared" si="98"/>
        <v>-128489.32077498062</v>
      </c>
      <c r="U150" s="155">
        <f t="shared" si="98"/>
        <v>-145340.98418068973</v>
      </c>
      <c r="V150" s="155">
        <f t="shared" si="98"/>
        <v>-163361.90767372251</v>
      </c>
    </row>
    <row r="151" spans="1:22" x14ac:dyDescent="0.2">
      <c r="A151" s="26" t="s">
        <v>314</v>
      </c>
      <c r="H151" s="76">
        <f>FS!D93</f>
        <v>-2267</v>
      </c>
      <c r="I151" s="76">
        <f>FS!E93</f>
        <v>-1478</v>
      </c>
      <c r="J151" s="76">
        <f>FS!F93</f>
        <v>-464</v>
      </c>
      <c r="K151" s="76">
        <f>FS!G93</f>
        <v>-689</v>
      </c>
      <c r="L151" s="76">
        <f>FS!H93</f>
        <v>-1286</v>
      </c>
      <c r="M151" s="155">
        <f>FS!I93</f>
        <v>0</v>
      </c>
      <c r="N151" s="155">
        <f>FS!J93</f>
        <v>0</v>
      </c>
      <c r="O151" s="155">
        <f>FS!K93</f>
        <v>0</v>
      </c>
      <c r="P151" s="155">
        <f>FS!L93</f>
        <v>0</v>
      </c>
      <c r="Q151" s="155">
        <f>FS!M93</f>
        <v>0</v>
      </c>
      <c r="R151" s="155">
        <f>FS!N93</f>
        <v>0</v>
      </c>
      <c r="S151" s="155">
        <f>FS!O93</f>
        <v>0</v>
      </c>
      <c r="T151" s="155">
        <f>FS!P93</f>
        <v>0</v>
      </c>
      <c r="U151" s="155">
        <f>FS!Q93</f>
        <v>0</v>
      </c>
      <c r="V151" s="155">
        <f>FS!R93</f>
        <v>0</v>
      </c>
    </row>
    <row r="152" spans="1:22" x14ac:dyDescent="0.2">
      <c r="A152" s="26"/>
      <c r="M152" s="155"/>
      <c r="N152" s="155"/>
      <c r="O152" s="155"/>
      <c r="P152" s="155"/>
      <c r="Q152" s="155"/>
      <c r="R152" s="155"/>
      <c r="S152" s="155"/>
      <c r="T152" s="155"/>
      <c r="U152" s="155"/>
      <c r="V152" s="155"/>
    </row>
    <row r="153" spans="1:22" x14ac:dyDescent="0.2">
      <c r="A153" s="26" t="s">
        <v>315</v>
      </c>
      <c r="H153" s="19">
        <f>'Cash flow-Historic'!B61</f>
        <v>38041</v>
      </c>
      <c r="I153" s="19">
        <f>'Cash flow-Historic'!C61</f>
        <v>45290</v>
      </c>
      <c r="J153" s="19">
        <f>'Cash flow-Historic'!D61</f>
        <v>-53274</v>
      </c>
      <c r="K153" s="19">
        <f>'Cash flow-Historic'!E61</f>
        <v>-20071</v>
      </c>
      <c r="L153" s="19">
        <f>'Cash flow-Historic'!F61</f>
        <v>21277</v>
      </c>
      <c r="M153" s="155">
        <f t="shared" ref="M153:V153" si="99">SUM(M135:M151)</f>
        <v>43481.822308409202</v>
      </c>
      <c r="N153" s="155">
        <f t="shared" si="99"/>
        <v>25871.747418508799</v>
      </c>
      <c r="O153" s="155">
        <f t="shared" si="99"/>
        <v>43337.295838798418</v>
      </c>
      <c r="P153" s="155">
        <f t="shared" si="99"/>
        <v>57982.991258985654</v>
      </c>
      <c r="Q153" s="155">
        <f t="shared" si="99"/>
        <v>74480.411721927492</v>
      </c>
      <c r="R153" s="155">
        <f t="shared" si="99"/>
        <v>90076.382184762333</v>
      </c>
      <c r="S153" s="155">
        <f t="shared" si="99"/>
        <v>113233.01713982006</v>
      </c>
      <c r="T153" s="155">
        <f t="shared" si="99"/>
        <v>125917.90714409456</v>
      </c>
      <c r="U153" s="155">
        <f t="shared" si="99"/>
        <v>144636.04824405315</v>
      </c>
      <c r="V153" s="155">
        <f t="shared" si="99"/>
        <v>161097.82998799198</v>
      </c>
    </row>
    <row r="154" spans="1:22" x14ac:dyDescent="0.2">
      <c r="A154" s="26" t="s">
        <v>307</v>
      </c>
      <c r="H154" s="76">
        <f>'Cash flow-Historic'!B63</f>
        <v>40940</v>
      </c>
      <c r="I154" s="76">
        <f>'Cash flow-Historic'!C63</f>
        <v>86260</v>
      </c>
      <c r="J154" s="76">
        <f>'Cash flow-Historic'!D63</f>
        <v>32986</v>
      </c>
      <c r="K154" s="76">
        <f>'Cash flow-Historic'!E63</f>
        <v>12915</v>
      </c>
      <c r="L154" s="76">
        <f>'Cash flow-Historic'!F63</f>
        <v>34192</v>
      </c>
      <c r="M154" s="155">
        <f t="shared" ref="M154:V154" si="100">M129+M153</f>
        <v>77673.822308409202</v>
      </c>
      <c r="N154" s="155">
        <f t="shared" si="100"/>
        <v>103545.56972691801</v>
      </c>
      <c r="O154" s="155">
        <f t="shared" si="100"/>
        <v>146882.86556571643</v>
      </c>
      <c r="P154" s="155">
        <f t="shared" si="100"/>
        <v>204865.85682470209</v>
      </c>
      <c r="Q154" s="155">
        <f t="shared" si="100"/>
        <v>279346.26854662958</v>
      </c>
      <c r="R154" s="155">
        <f t="shared" si="100"/>
        <v>369422.65073139191</v>
      </c>
      <c r="S154" s="155">
        <f t="shared" si="100"/>
        <v>482655.667871212</v>
      </c>
      <c r="T154" s="155">
        <f t="shared" si="100"/>
        <v>608573.57501530659</v>
      </c>
      <c r="U154" s="155">
        <f t="shared" si="100"/>
        <v>753209.62325935974</v>
      </c>
      <c r="V154" s="155">
        <f t="shared" si="100"/>
        <v>914307.45324735169</v>
      </c>
    </row>
    <row r="156" spans="1:22" s="38" customFormat="1" ht="20" customHeight="1" x14ac:dyDescent="0.2">
      <c r="A156" s="69" t="s">
        <v>316</v>
      </c>
      <c r="B156" s="36"/>
      <c r="C156" s="37"/>
      <c r="D156" s="37"/>
      <c r="E156" s="37"/>
      <c r="F156" s="37"/>
      <c r="G156" s="37"/>
      <c r="H156" s="37"/>
      <c r="I156" s="37"/>
      <c r="J156" s="37"/>
      <c r="K156" s="37"/>
      <c r="L156" s="37"/>
      <c r="M156" s="37"/>
      <c r="N156" s="37"/>
      <c r="O156" s="37"/>
      <c r="P156" s="37"/>
      <c r="Q156" s="37"/>
      <c r="R156" s="37"/>
      <c r="S156" s="37"/>
      <c r="T156" s="37"/>
      <c r="U156" s="37"/>
      <c r="V156" s="37"/>
    </row>
    <row r="157" spans="1:22" x14ac:dyDescent="0.2">
      <c r="A157" s="26" t="s">
        <v>317</v>
      </c>
      <c r="H157" s="76"/>
      <c r="I157" s="76">
        <f>H161</f>
        <v>355584</v>
      </c>
      <c r="J157" s="76">
        <f t="shared" ref="J157:L157" si="101">I161</f>
        <v>390868</v>
      </c>
      <c r="K157" s="76">
        <f t="shared" si="101"/>
        <v>393845</v>
      </c>
      <c r="L157" s="76">
        <f t="shared" si="101"/>
        <v>415190</v>
      </c>
      <c r="M157" s="155">
        <f>L161</f>
        <v>433748</v>
      </c>
      <c r="N157" s="155">
        <f t="shared" ref="N157:V157" si="102">M161</f>
        <v>451676.54037339415</v>
      </c>
      <c r="O157" s="155">
        <f t="shared" si="102"/>
        <v>474283.12663972547</v>
      </c>
      <c r="P157" s="155">
        <f t="shared" si="102"/>
        <v>512657.64650959201</v>
      </c>
      <c r="Q157" s="155">
        <f t="shared" si="102"/>
        <v>566414.34691911936</v>
      </c>
      <c r="R157" s="155">
        <f t="shared" si="102"/>
        <v>636691.05580335762</v>
      </c>
      <c r="S157" s="155">
        <f t="shared" si="102"/>
        <v>724901.79174206348</v>
      </c>
      <c r="T157" s="155">
        <f t="shared" si="102"/>
        <v>826829.84934128937</v>
      </c>
      <c r="U157" s="155">
        <f t="shared" si="102"/>
        <v>943549.15599947795</v>
      </c>
      <c r="V157" s="155">
        <f t="shared" si="102"/>
        <v>1075576.4622399518</v>
      </c>
    </row>
    <row r="158" spans="1:22" x14ac:dyDescent="0.2">
      <c r="A158" s="26" t="s">
        <v>318</v>
      </c>
      <c r="H158" s="76">
        <f>FS!D25</f>
        <v>11383</v>
      </c>
      <c r="I158" s="76">
        <f>FS!E25</f>
        <v>36608</v>
      </c>
      <c r="J158" s="76">
        <f>FS!F25</f>
        <v>30468</v>
      </c>
      <c r="K158" s="76">
        <f>FS!G25</f>
        <v>41086</v>
      </c>
      <c r="L158" s="76">
        <f>FS!H25</f>
        <v>44241</v>
      </c>
      <c r="M158" s="155">
        <f>FS!I25</f>
        <v>37665.000784441523</v>
      </c>
      <c r="N158" s="155">
        <f>FS!J25</f>
        <v>47492.828290612015</v>
      </c>
      <c r="O158" s="155">
        <f>FS!K25</f>
        <v>80618.739222408825</v>
      </c>
      <c r="P158" s="155">
        <f>FS!L25</f>
        <v>112934.24455783056</v>
      </c>
      <c r="Q158" s="155">
        <f>FS!M25</f>
        <v>147640.14471478635</v>
      </c>
      <c r="R158" s="155">
        <f>FS!N25</f>
        <v>185316.67214013817</v>
      </c>
      <c r="S158" s="155">
        <f>FS!O25</f>
        <v>214134.57478828984</v>
      </c>
      <c r="T158" s="155">
        <f>FS!P25</f>
        <v>245208.62743316911</v>
      </c>
      <c r="U158" s="155">
        <f>FS!Q25</f>
        <v>277368.29042116361</v>
      </c>
      <c r="V158" s="155">
        <f>FS!R25</f>
        <v>311759.36578954675</v>
      </c>
    </row>
    <row r="159" spans="1:22" x14ac:dyDescent="0.2">
      <c r="A159" s="26" t="s">
        <v>319</v>
      </c>
      <c r="H159" s="76">
        <f>'Cash flow-Historic'!B57</f>
        <v>-6610</v>
      </c>
      <c r="I159" s="76">
        <f>'Cash flow-Historic'!C57</f>
        <v>-1344</v>
      </c>
      <c r="J159" s="76">
        <f>'Cash flow-Historic'!D57</f>
        <v>-27785</v>
      </c>
      <c r="K159" s="76">
        <f>'Cash flow-Historic'!E57</f>
        <v>-19852</v>
      </c>
      <c r="L159" s="76">
        <f>'Cash flow-Historic'!F57</f>
        <v>-26463</v>
      </c>
      <c r="M159" s="155">
        <f>-M158*52.4%</f>
        <v>-19736.460411047359</v>
      </c>
      <c r="N159" s="155">
        <f t="shared" ref="N159:V159" si="103">-N158*52.4%</f>
        <v>-24886.242024280698</v>
      </c>
      <c r="O159" s="155">
        <f t="shared" si="103"/>
        <v>-42244.219352542226</v>
      </c>
      <c r="P159" s="155">
        <f t="shared" si="103"/>
        <v>-59177.544148303219</v>
      </c>
      <c r="Q159" s="155">
        <f t="shared" si="103"/>
        <v>-77363.435830548056</v>
      </c>
      <c r="R159" s="155">
        <f t="shared" si="103"/>
        <v>-97105.9362014324</v>
      </c>
      <c r="S159" s="155">
        <f t="shared" si="103"/>
        <v>-112206.51718906389</v>
      </c>
      <c r="T159" s="155">
        <f t="shared" si="103"/>
        <v>-128489.32077498062</v>
      </c>
      <c r="U159" s="155">
        <f t="shared" si="103"/>
        <v>-145340.98418068973</v>
      </c>
      <c r="V159" s="155">
        <f t="shared" si="103"/>
        <v>-163361.90767372251</v>
      </c>
    </row>
    <row r="160" spans="1:22" x14ac:dyDescent="0.2">
      <c r="A160" s="26" t="s">
        <v>320</v>
      </c>
      <c r="H160" s="76">
        <f>H161-H157-H158-H159</f>
        <v>350811</v>
      </c>
      <c r="I160" s="76">
        <f t="shared" ref="I160:L160" si="104">I161-I157-I158-I159</f>
        <v>20</v>
      </c>
      <c r="J160" s="76">
        <f t="shared" si="104"/>
        <v>294</v>
      </c>
      <c r="K160" s="76">
        <f t="shared" si="104"/>
        <v>111</v>
      </c>
      <c r="L160" s="76">
        <f t="shared" si="104"/>
        <v>780</v>
      </c>
      <c r="M160" s="155">
        <v>0</v>
      </c>
      <c r="N160" s="155">
        <v>0</v>
      </c>
      <c r="O160" s="155">
        <v>0</v>
      </c>
      <c r="P160" s="155">
        <v>0</v>
      </c>
      <c r="Q160" s="155">
        <v>0</v>
      </c>
      <c r="R160" s="155">
        <v>0</v>
      </c>
      <c r="S160" s="155">
        <v>0</v>
      </c>
      <c r="T160" s="155">
        <v>0</v>
      </c>
      <c r="U160" s="155">
        <v>0</v>
      </c>
      <c r="V160" s="155">
        <v>0</v>
      </c>
    </row>
    <row r="161" spans="1:22" x14ac:dyDescent="0.2">
      <c r="A161" s="26" t="s">
        <v>321</v>
      </c>
      <c r="H161" s="76">
        <f>'Balance Sheet- Historic'!C31</f>
        <v>355584</v>
      </c>
      <c r="I161" s="76">
        <f>'Balance Sheet- Historic'!D31</f>
        <v>390868</v>
      </c>
      <c r="J161" s="76">
        <f>'Balance Sheet- Historic'!E31</f>
        <v>393845</v>
      </c>
      <c r="K161" s="76">
        <f>'Balance Sheet- Historic'!F31</f>
        <v>415190</v>
      </c>
      <c r="L161" s="76">
        <f>'Balance Sheet- Historic'!G31</f>
        <v>433748</v>
      </c>
      <c r="M161" s="155">
        <f>SUM(M157:M160)</f>
        <v>451676.54037339415</v>
      </c>
      <c r="N161" s="155">
        <f t="shared" ref="N161:V161" si="105">SUM(N157:N160)</f>
        <v>474283.12663972547</v>
      </c>
      <c r="O161" s="155">
        <f t="shared" si="105"/>
        <v>512657.64650959201</v>
      </c>
      <c r="P161" s="155">
        <f t="shared" si="105"/>
        <v>566414.34691911936</v>
      </c>
      <c r="Q161" s="155">
        <f t="shared" si="105"/>
        <v>636691.05580335762</v>
      </c>
      <c r="R161" s="155">
        <f t="shared" si="105"/>
        <v>724901.79174206348</v>
      </c>
      <c r="S161" s="155">
        <f t="shared" si="105"/>
        <v>826829.84934128937</v>
      </c>
      <c r="T161" s="155">
        <f t="shared" si="105"/>
        <v>943549.15599947795</v>
      </c>
      <c r="U161" s="155">
        <f t="shared" si="105"/>
        <v>1075576.4622399518</v>
      </c>
      <c r="V161" s="155">
        <f t="shared" si="105"/>
        <v>1223973.9203557759</v>
      </c>
    </row>
    <row r="162" spans="1:22" x14ac:dyDescent="0.2">
      <c r="H162" s="13"/>
    </row>
    <row r="163" spans="1:22" s="38" customFormat="1" ht="20" customHeight="1" x14ac:dyDescent="0.2">
      <c r="A163" s="44"/>
      <c r="B163" s="36"/>
      <c r="C163" s="37"/>
      <c r="D163" s="37"/>
      <c r="E163" s="37"/>
      <c r="F163" s="37"/>
      <c r="G163" s="37"/>
      <c r="H163" s="37"/>
      <c r="I163" s="37"/>
      <c r="J163" s="37"/>
      <c r="K163" s="37"/>
      <c r="L163" s="37"/>
      <c r="M163" s="37"/>
      <c r="N163" s="37"/>
      <c r="O163" s="37"/>
      <c r="P163" s="37"/>
      <c r="Q163" s="37"/>
      <c r="R163" s="37"/>
      <c r="S163" s="37"/>
      <c r="T163" s="37"/>
      <c r="U163" s="37"/>
      <c r="V163" s="37"/>
    </row>
    <row r="164" spans="1:22" ht="17" customHeight="1" x14ac:dyDescent="0.2">
      <c r="A164" s="25"/>
      <c r="B164" s="53"/>
      <c r="C164" s="21"/>
      <c r="D164" s="21"/>
      <c r="E164" s="21"/>
      <c r="F164" s="21"/>
      <c r="G164" s="21"/>
      <c r="H164" s="21"/>
      <c r="I164" s="21"/>
      <c r="J164" s="21"/>
      <c r="K164" s="21"/>
      <c r="L164" s="21"/>
      <c r="M164" s="21"/>
      <c r="N164" s="21"/>
      <c r="O164" s="21"/>
      <c r="P164" s="21"/>
      <c r="Q164" s="21"/>
      <c r="R164" s="21"/>
      <c r="S164" s="21"/>
      <c r="T164" s="21"/>
      <c r="U164" s="21"/>
      <c r="V164" s="21"/>
    </row>
    <row r="165" spans="1:22" ht="17" customHeight="1" x14ac:dyDescent="0.2">
      <c r="A165" s="26"/>
      <c r="B165" s="55"/>
      <c r="C165" s="30"/>
      <c r="D165" s="30"/>
      <c r="E165" s="30"/>
      <c r="F165" s="30"/>
      <c r="G165" s="30"/>
      <c r="H165" s="31"/>
      <c r="I165" s="31"/>
      <c r="J165" s="31"/>
      <c r="K165" s="31"/>
      <c r="L165" s="31"/>
      <c r="M165" s="32"/>
      <c r="N165" s="32"/>
      <c r="O165" s="32"/>
      <c r="P165" s="32"/>
      <c r="Q165" s="32"/>
      <c r="R165" s="32"/>
      <c r="S165" s="32"/>
      <c r="T165" s="32"/>
      <c r="U165" s="32"/>
      <c r="V165" s="32"/>
    </row>
    <row r="167" spans="1:22" s="38" customFormat="1" ht="20" customHeight="1" x14ac:dyDescent="0.2">
      <c r="A167" s="44"/>
      <c r="B167" s="36"/>
      <c r="C167" s="37"/>
      <c r="D167" s="37"/>
      <c r="E167" s="37"/>
      <c r="F167" s="37"/>
      <c r="G167" s="37"/>
      <c r="H167" s="37"/>
      <c r="I167" s="37"/>
      <c r="J167" s="37"/>
      <c r="K167" s="37"/>
      <c r="L167" s="37"/>
      <c r="M167" s="37"/>
      <c r="N167" s="37"/>
      <c r="O167" s="37"/>
      <c r="P167" s="37"/>
      <c r="Q167" s="37"/>
      <c r="R167" s="37"/>
      <c r="S167" s="37"/>
      <c r="T167" s="37"/>
      <c r="U167" s="37"/>
      <c r="V167" s="37"/>
    </row>
    <row r="168" spans="1:22" ht="17" customHeight="1" x14ac:dyDescent="0.2">
      <c r="A168" s="25"/>
      <c r="B168" s="53"/>
      <c r="C168" s="21"/>
      <c r="D168" s="21"/>
      <c r="E168" s="21"/>
      <c r="F168" s="21"/>
      <c r="G168" s="21"/>
      <c r="H168" s="21"/>
      <c r="I168" s="21"/>
      <c r="J168" s="21"/>
      <c r="K168" s="21"/>
      <c r="L168" s="21"/>
      <c r="M168" s="21"/>
      <c r="N168" s="21"/>
      <c r="O168" s="21"/>
      <c r="P168" s="21"/>
      <c r="Q168" s="21"/>
      <c r="R168" s="21"/>
      <c r="S168" s="21"/>
      <c r="T168" s="21"/>
      <c r="U168" s="21"/>
      <c r="V168" s="21"/>
    </row>
    <row r="169" spans="1:22" ht="17" customHeight="1" x14ac:dyDescent="0.2">
      <c r="A169" s="26"/>
      <c r="B169" s="55"/>
      <c r="C169" s="30"/>
      <c r="D169" s="30"/>
      <c r="E169" s="30"/>
      <c r="F169" s="30"/>
      <c r="G169" s="30"/>
      <c r="H169" s="31"/>
      <c r="I169" s="31"/>
      <c r="J169" s="31"/>
      <c r="K169" s="31"/>
      <c r="L169" s="31"/>
      <c r="M169" s="31"/>
      <c r="N169" s="31"/>
      <c r="O169" s="31"/>
      <c r="P169" s="31"/>
      <c r="Q169" s="31"/>
      <c r="R169" s="31"/>
      <c r="S169" s="31"/>
      <c r="T169" s="31"/>
      <c r="U169" s="31"/>
      <c r="V169" s="31"/>
    </row>
    <row r="170" spans="1:22" ht="17" customHeight="1" x14ac:dyDescent="0.2">
      <c r="A170" s="26"/>
      <c r="B170" s="55"/>
      <c r="C170" s="27"/>
      <c r="D170" s="27"/>
      <c r="E170" s="27"/>
      <c r="F170" s="27"/>
      <c r="G170" s="27"/>
      <c r="H170" s="35"/>
      <c r="I170" s="35"/>
      <c r="J170" s="35"/>
      <c r="K170" s="35"/>
      <c r="L170" s="35"/>
      <c r="M170" s="35"/>
      <c r="N170" s="35"/>
      <c r="O170" s="35"/>
      <c r="P170" s="35"/>
      <c r="Q170" s="35"/>
      <c r="R170" s="35"/>
      <c r="S170" s="35"/>
      <c r="T170" s="35"/>
      <c r="U170" s="35"/>
      <c r="V170" s="35"/>
    </row>
    <row r="171" spans="1:22" ht="17" customHeight="1" x14ac:dyDescent="0.2">
      <c r="A171" s="26"/>
      <c r="B171" s="55"/>
      <c r="C171" s="30"/>
      <c r="D171" s="30"/>
      <c r="E171" s="30"/>
      <c r="F171" s="30"/>
      <c r="G171" s="30"/>
      <c r="H171" s="31"/>
      <c r="I171" s="31"/>
      <c r="J171" s="31"/>
      <c r="K171" s="31"/>
      <c r="L171" s="31"/>
      <c r="M171" s="31"/>
      <c r="N171" s="31"/>
      <c r="O171" s="31"/>
      <c r="P171" s="31"/>
      <c r="Q171" s="31"/>
      <c r="R171" s="31"/>
      <c r="S171" s="31"/>
      <c r="T171" s="31"/>
      <c r="U171" s="31"/>
      <c r="V171" s="31"/>
    </row>
    <row r="172" spans="1:22" ht="17" customHeight="1" x14ac:dyDescent="0.2">
      <c r="A172" s="26"/>
      <c r="B172" s="55"/>
      <c r="C172" s="30"/>
      <c r="D172" s="30"/>
      <c r="E172" s="30"/>
      <c r="F172" s="30"/>
      <c r="G172" s="30"/>
      <c r="H172" s="31"/>
      <c r="I172" s="31"/>
      <c r="J172" s="31"/>
      <c r="K172" s="31"/>
      <c r="L172" s="31"/>
      <c r="M172" s="31"/>
      <c r="N172" s="31"/>
      <c r="O172" s="31"/>
      <c r="P172" s="31"/>
      <c r="Q172" s="31"/>
      <c r="R172" s="31"/>
      <c r="S172" s="31"/>
      <c r="T172" s="31"/>
      <c r="U172" s="31"/>
      <c r="V172" s="31"/>
    </row>
    <row r="173" spans="1:22" ht="17" customHeight="1" x14ac:dyDescent="0.2">
      <c r="A173" s="26"/>
      <c r="B173" s="55"/>
      <c r="C173" s="30"/>
      <c r="D173" s="30"/>
      <c r="E173" s="30"/>
      <c r="F173" s="30"/>
      <c r="G173" s="30"/>
      <c r="H173" s="31"/>
      <c r="I173" s="31"/>
      <c r="J173" s="31"/>
      <c r="K173" s="31"/>
      <c r="L173" s="31"/>
      <c r="M173" s="31"/>
      <c r="N173" s="31"/>
      <c r="O173" s="31"/>
      <c r="P173" s="31"/>
      <c r="Q173" s="31"/>
      <c r="R173" s="31"/>
      <c r="S173" s="31"/>
      <c r="T173" s="31"/>
      <c r="U173" s="31"/>
      <c r="V173" s="31"/>
    </row>
    <row r="174" spans="1:22" ht="8" customHeight="1" x14ac:dyDescent="0.2">
      <c r="A174" s="20"/>
      <c r="B174" s="53"/>
      <c r="C174" s="21"/>
      <c r="D174" s="21"/>
      <c r="E174" s="21"/>
      <c r="F174" s="21"/>
      <c r="G174" s="21"/>
      <c r="H174" s="21"/>
      <c r="I174" s="21"/>
      <c r="J174" s="21"/>
      <c r="K174" s="21"/>
      <c r="L174" s="21"/>
      <c r="M174" s="21"/>
      <c r="N174" s="21"/>
      <c r="O174" s="21"/>
      <c r="P174" s="21"/>
      <c r="Q174" s="21"/>
      <c r="R174" s="21"/>
      <c r="S174" s="21"/>
      <c r="T174" s="21"/>
      <c r="U174" s="21"/>
      <c r="V174" s="21"/>
    </row>
    <row r="175" spans="1:22" ht="17" customHeight="1" x14ac:dyDescent="0.2">
      <c r="A175" s="25"/>
      <c r="B175" s="53"/>
      <c r="C175" s="21"/>
      <c r="D175" s="21"/>
      <c r="E175" s="21"/>
      <c r="F175" s="21"/>
      <c r="G175" s="21"/>
      <c r="H175" s="21"/>
      <c r="I175" s="21"/>
      <c r="J175" s="21"/>
      <c r="K175" s="21"/>
      <c r="L175" s="21"/>
      <c r="M175" s="21"/>
      <c r="N175" s="21"/>
      <c r="O175" s="21"/>
      <c r="P175" s="21"/>
      <c r="Q175" s="21"/>
      <c r="R175" s="21"/>
      <c r="S175" s="21"/>
      <c r="T175" s="21"/>
      <c r="U175" s="21"/>
      <c r="V175" s="21"/>
    </row>
    <row r="176" spans="1:22" ht="17" customHeight="1" x14ac:dyDescent="0.2">
      <c r="A176" s="26"/>
      <c r="B176" s="55"/>
      <c r="C176" s="30"/>
      <c r="D176" s="30"/>
      <c r="E176" s="30"/>
      <c r="F176" s="30"/>
      <c r="G176" s="30"/>
      <c r="H176" s="31"/>
      <c r="I176" s="31"/>
      <c r="J176" s="31"/>
      <c r="K176" s="31"/>
      <c r="L176" s="31"/>
      <c r="M176" s="31"/>
      <c r="N176" s="31"/>
      <c r="O176" s="31"/>
      <c r="P176" s="31"/>
      <c r="Q176" s="31"/>
      <c r="R176" s="31"/>
      <c r="S176" s="31"/>
      <c r="T176" s="31"/>
      <c r="U176" s="31"/>
      <c r="V176" s="31"/>
    </row>
    <row r="177" spans="1:22" ht="17" customHeight="1" x14ac:dyDescent="0.2">
      <c r="A177" s="26"/>
      <c r="B177" s="55"/>
      <c r="C177" s="30"/>
      <c r="D177" s="30"/>
      <c r="E177" s="30"/>
      <c r="F177" s="30"/>
      <c r="G177" s="30"/>
      <c r="H177" s="31"/>
      <c r="I177" s="31"/>
      <c r="J177" s="31"/>
      <c r="K177" s="31"/>
      <c r="L177" s="31"/>
      <c r="M177" s="31"/>
      <c r="N177" s="31"/>
      <c r="O177" s="31"/>
      <c r="P177" s="31"/>
      <c r="Q177" s="31"/>
      <c r="R177" s="31"/>
      <c r="S177" s="31"/>
      <c r="T177" s="31"/>
      <c r="U177" s="31"/>
      <c r="V177" s="31"/>
    </row>
    <row r="178" spans="1:22" ht="17" customHeight="1" x14ac:dyDescent="0.2">
      <c r="A178" s="26"/>
      <c r="B178" s="55"/>
      <c r="C178" s="30"/>
      <c r="D178" s="30"/>
      <c r="E178" s="30"/>
      <c r="F178" s="30"/>
      <c r="G178" s="30"/>
      <c r="H178" s="31"/>
      <c r="I178" s="31"/>
      <c r="J178" s="31"/>
      <c r="K178" s="31"/>
      <c r="L178" s="31"/>
      <c r="M178" s="31"/>
      <c r="N178" s="31"/>
      <c r="O178" s="31"/>
      <c r="P178" s="31"/>
      <c r="Q178" s="31"/>
      <c r="R178" s="31"/>
      <c r="S178" s="31"/>
      <c r="T178" s="31"/>
      <c r="U178" s="31"/>
      <c r="V178" s="31"/>
    </row>
    <row r="179" spans="1:22" ht="8" customHeight="1" x14ac:dyDescent="0.2">
      <c r="A179" s="20"/>
      <c r="B179" s="53"/>
      <c r="C179" s="21"/>
      <c r="D179" s="21"/>
      <c r="E179" s="21"/>
      <c r="F179" s="21"/>
      <c r="G179" s="21"/>
      <c r="H179" s="21"/>
      <c r="I179" s="21"/>
      <c r="J179" s="21"/>
      <c r="K179" s="21"/>
      <c r="L179" s="21"/>
      <c r="M179" s="21"/>
      <c r="N179" s="21"/>
      <c r="O179" s="21"/>
      <c r="P179" s="21"/>
      <c r="Q179" s="21"/>
      <c r="R179" s="21"/>
      <c r="S179" s="21"/>
      <c r="T179" s="21"/>
      <c r="U179" s="21"/>
      <c r="V179" s="21"/>
    </row>
    <row r="180" spans="1:22" ht="17" customHeight="1" x14ac:dyDescent="0.2">
      <c r="A180" s="25"/>
      <c r="B180" s="53"/>
      <c r="C180" s="21"/>
      <c r="D180" s="21"/>
      <c r="E180" s="21"/>
      <c r="F180" s="21"/>
      <c r="G180" s="21"/>
      <c r="H180" s="21"/>
      <c r="I180" s="21"/>
      <c r="J180" s="21"/>
      <c r="K180" s="21"/>
      <c r="L180" s="21"/>
      <c r="M180" s="21"/>
      <c r="N180" s="21"/>
      <c r="O180" s="21"/>
      <c r="P180" s="21"/>
      <c r="Q180" s="21"/>
      <c r="R180" s="21"/>
      <c r="S180" s="21"/>
      <c r="T180" s="21"/>
      <c r="U180" s="21"/>
      <c r="V180" s="21"/>
    </row>
    <row r="181" spans="1:22" ht="17" customHeight="1" x14ac:dyDescent="0.2">
      <c r="A181" s="26"/>
      <c r="B181" s="55"/>
      <c r="C181" s="27"/>
      <c r="D181" s="27"/>
      <c r="E181" s="27"/>
      <c r="F181" s="27"/>
      <c r="G181" s="27"/>
      <c r="H181" s="35"/>
      <c r="I181" s="35"/>
      <c r="J181" s="35"/>
      <c r="K181" s="35"/>
      <c r="L181" s="35"/>
      <c r="M181" s="35"/>
      <c r="N181" s="35"/>
      <c r="O181" s="35"/>
      <c r="P181" s="35"/>
      <c r="Q181" s="35"/>
      <c r="R181" s="35"/>
      <c r="S181" s="35"/>
      <c r="T181" s="35"/>
      <c r="U181" s="35"/>
      <c r="V181" s="35"/>
    </row>
    <row r="182" spans="1:22" ht="17" customHeight="1" x14ac:dyDescent="0.2">
      <c r="A182" s="26"/>
      <c r="B182" s="55"/>
      <c r="C182" s="27"/>
      <c r="D182" s="27"/>
      <c r="E182" s="27"/>
      <c r="F182" s="27"/>
      <c r="G182" s="27"/>
      <c r="H182" s="35"/>
      <c r="I182" s="35"/>
      <c r="J182" s="35"/>
      <c r="K182" s="35"/>
      <c r="L182" s="35"/>
      <c r="M182" s="35"/>
      <c r="N182" s="35"/>
      <c r="O182" s="35"/>
      <c r="P182" s="35"/>
      <c r="Q182" s="35"/>
      <c r="R182" s="35"/>
      <c r="S182" s="35"/>
      <c r="T182" s="35"/>
      <c r="U182" s="35"/>
      <c r="V182" s="35"/>
    </row>
    <row r="183" spans="1:22" ht="17" customHeight="1" x14ac:dyDescent="0.2">
      <c r="A183" s="26"/>
      <c r="B183" s="55"/>
      <c r="C183" s="27"/>
      <c r="D183" s="27"/>
      <c r="E183" s="27"/>
      <c r="F183" s="27"/>
      <c r="G183" s="27"/>
      <c r="H183" s="35"/>
      <c r="I183" s="35"/>
      <c r="J183" s="35"/>
      <c r="K183" s="35"/>
      <c r="L183" s="35"/>
      <c r="M183" s="35"/>
      <c r="N183" s="35"/>
      <c r="O183" s="35"/>
      <c r="P183" s="35"/>
      <c r="Q183" s="35"/>
      <c r="R183" s="35"/>
      <c r="S183" s="35"/>
      <c r="T183" s="35"/>
      <c r="U183" s="35"/>
      <c r="V183" s="35"/>
    </row>
    <row r="184" spans="1:22" ht="17" customHeight="1" x14ac:dyDescent="0.2">
      <c r="A184" s="26"/>
      <c r="B184" s="55"/>
      <c r="C184" s="30"/>
      <c r="D184" s="30"/>
      <c r="E184" s="30"/>
      <c r="F184" s="30"/>
      <c r="G184" s="30"/>
      <c r="H184" s="31"/>
      <c r="I184" s="31"/>
      <c r="J184" s="31"/>
      <c r="K184" s="31"/>
      <c r="L184" s="31"/>
      <c r="M184" s="31"/>
      <c r="N184" s="31"/>
      <c r="O184" s="31"/>
      <c r="P184" s="31"/>
      <c r="Q184" s="31"/>
      <c r="R184" s="31"/>
      <c r="S184" s="31"/>
      <c r="T184" s="31"/>
      <c r="U184" s="31"/>
      <c r="V184" s="31"/>
    </row>
    <row r="185" spans="1:22" ht="17" customHeight="1" x14ac:dyDescent="0.2">
      <c r="A185" s="26"/>
      <c r="B185" s="55"/>
      <c r="C185" s="30"/>
      <c r="D185" s="30"/>
      <c r="E185" s="30"/>
      <c r="F185" s="30"/>
      <c r="G185" s="30"/>
      <c r="H185" s="31"/>
      <c r="I185" s="31"/>
      <c r="J185" s="31"/>
      <c r="K185" s="31"/>
      <c r="L185" s="31"/>
      <c r="M185" s="31"/>
      <c r="N185" s="31"/>
      <c r="O185" s="31"/>
      <c r="P185" s="31"/>
      <c r="Q185" s="31"/>
      <c r="R185" s="31"/>
      <c r="S185" s="31"/>
      <c r="T185" s="31"/>
      <c r="U185" s="31"/>
      <c r="V185" s="31"/>
    </row>
    <row r="186" spans="1:22" ht="17" customHeight="1" x14ac:dyDescent="0.2">
      <c r="A186" s="26"/>
      <c r="B186" s="55"/>
      <c r="C186" s="30"/>
      <c r="D186" s="30"/>
      <c r="E186" s="30"/>
      <c r="F186" s="30"/>
      <c r="G186" s="30"/>
      <c r="H186" s="31"/>
      <c r="I186" s="31"/>
      <c r="J186" s="31"/>
      <c r="K186" s="31"/>
      <c r="L186" s="31"/>
      <c r="M186" s="31"/>
      <c r="N186" s="31"/>
      <c r="O186" s="31"/>
      <c r="P186" s="31"/>
      <c r="Q186" s="31"/>
      <c r="R186" s="31"/>
      <c r="S186" s="31"/>
      <c r="T186" s="31"/>
      <c r="U186" s="31"/>
      <c r="V186" s="31"/>
    </row>
    <row r="187" spans="1:22" ht="8" customHeight="1" x14ac:dyDescent="0.2">
      <c r="A187" s="20"/>
      <c r="B187" s="53"/>
      <c r="C187" s="21"/>
      <c r="D187" s="21"/>
      <c r="E187" s="21"/>
      <c r="F187" s="21"/>
      <c r="G187" s="21"/>
      <c r="H187" s="21"/>
      <c r="I187" s="21"/>
      <c r="J187" s="21"/>
      <c r="K187" s="21"/>
      <c r="L187" s="21"/>
      <c r="M187" s="21"/>
      <c r="N187" s="21"/>
      <c r="O187" s="21"/>
      <c r="P187" s="21"/>
      <c r="Q187" s="21"/>
      <c r="R187" s="21"/>
      <c r="S187" s="21"/>
      <c r="T187" s="21"/>
      <c r="U187" s="21"/>
      <c r="V187" s="21"/>
    </row>
    <row r="188" spans="1:22" s="38" customFormat="1" ht="20" customHeight="1" x14ac:dyDescent="0.2">
      <c r="A188" s="44"/>
      <c r="B188" s="36"/>
      <c r="C188" s="37"/>
      <c r="D188" s="37"/>
      <c r="E188" s="37"/>
      <c r="F188" s="37"/>
      <c r="G188" s="37"/>
      <c r="H188" s="37"/>
      <c r="I188" s="37"/>
      <c r="J188" s="37"/>
      <c r="K188" s="37"/>
      <c r="L188" s="37"/>
      <c r="M188" s="37"/>
      <c r="N188" s="37"/>
      <c r="O188" s="37"/>
      <c r="P188" s="37"/>
      <c r="Q188" s="37"/>
      <c r="R188" s="37"/>
      <c r="S188" s="37"/>
      <c r="T188" s="37"/>
      <c r="U188" s="37"/>
      <c r="V188" s="37"/>
    </row>
    <row r="189" spans="1:22" ht="17" customHeight="1" x14ac:dyDescent="0.2">
      <c r="A189" s="25"/>
      <c r="B189" s="53"/>
      <c r="C189" s="21"/>
      <c r="D189" s="21"/>
      <c r="E189" s="21"/>
      <c r="F189" s="21"/>
      <c r="G189" s="21"/>
      <c r="H189" s="21"/>
      <c r="I189" s="21"/>
      <c r="J189" s="21"/>
      <c r="K189" s="21"/>
      <c r="L189" s="21"/>
      <c r="M189" s="21"/>
      <c r="N189" s="21"/>
      <c r="O189" s="21"/>
      <c r="P189" s="21"/>
      <c r="Q189" s="21"/>
      <c r="R189" s="21"/>
      <c r="S189" s="21"/>
      <c r="T189" s="21"/>
      <c r="U189" s="21"/>
      <c r="V189" s="21"/>
    </row>
    <row r="190" spans="1:22" ht="17" customHeight="1" x14ac:dyDescent="0.2">
      <c r="A190" s="26"/>
      <c r="B190" s="55"/>
      <c r="C190" s="30"/>
      <c r="D190" s="30"/>
      <c r="E190" s="30"/>
      <c r="F190" s="30"/>
      <c r="G190" s="30"/>
      <c r="H190" s="31"/>
      <c r="I190" s="31"/>
      <c r="J190" s="31"/>
      <c r="K190" s="31"/>
      <c r="L190" s="31"/>
      <c r="M190" s="31"/>
      <c r="N190" s="31"/>
      <c r="O190" s="31"/>
      <c r="P190" s="31"/>
      <c r="Q190" s="31"/>
      <c r="R190" s="31"/>
      <c r="S190" s="31"/>
      <c r="T190" s="31"/>
      <c r="U190" s="31"/>
      <c r="V190" s="31"/>
    </row>
    <row r="193" spans="1:18" x14ac:dyDescent="0.2">
      <c r="A193" s="19" t="s">
        <v>0</v>
      </c>
      <c r="B193" s="56" t="s">
        <v>280</v>
      </c>
      <c r="C193" s="19" t="s">
        <v>108</v>
      </c>
      <c r="D193" s="19" t="s">
        <v>6</v>
      </c>
      <c r="E193" s="19" t="s">
        <v>5</v>
      </c>
      <c r="F193" s="19" t="s">
        <v>4</v>
      </c>
      <c r="G193" s="19" t="s">
        <v>3</v>
      </c>
      <c r="H193" s="19" t="s">
        <v>2</v>
      </c>
      <c r="I193" s="19" t="s">
        <v>281</v>
      </c>
      <c r="J193" s="19" t="s">
        <v>282</v>
      </c>
      <c r="K193" s="19" t="s">
        <v>283</v>
      </c>
      <c r="L193" s="19" t="s">
        <v>284</v>
      </c>
      <c r="M193" s="19" t="s">
        <v>285</v>
      </c>
      <c r="N193" s="19" t="s">
        <v>286</v>
      </c>
      <c r="O193" s="19" t="s">
        <v>287</v>
      </c>
      <c r="P193" s="19" t="s">
        <v>288</v>
      </c>
      <c r="Q193" s="19" t="s">
        <v>289</v>
      </c>
      <c r="R193" s="19" t="s">
        <v>290</v>
      </c>
    </row>
    <row r="194" spans="1:18" x14ac:dyDescent="0.2">
      <c r="D194" s="19" t="s">
        <v>109</v>
      </c>
      <c r="E194" s="19" t="s">
        <v>109</v>
      </c>
      <c r="F194" s="19" t="s">
        <v>109</v>
      </c>
      <c r="G194" s="19" t="s">
        <v>109</v>
      </c>
      <c r="H194" s="19" t="s">
        <v>109</v>
      </c>
      <c r="I194" s="19" t="s">
        <v>103</v>
      </c>
      <c r="J194" s="19" t="s">
        <v>103</v>
      </c>
      <c r="K194" s="19" t="s">
        <v>103</v>
      </c>
      <c r="L194" s="19" t="s">
        <v>103</v>
      </c>
      <c r="M194" s="19" t="s">
        <v>103</v>
      </c>
      <c r="N194" s="19" t="s">
        <v>103</v>
      </c>
      <c r="O194" s="19" t="s">
        <v>103</v>
      </c>
      <c r="P194" s="19" t="s">
        <v>103</v>
      </c>
      <c r="Q194" s="19" t="s">
        <v>103</v>
      </c>
      <c r="R194" s="19" t="s">
        <v>103</v>
      </c>
    </row>
    <row r="196" spans="1:18" x14ac:dyDescent="0.2">
      <c r="A196" s="19" t="s">
        <v>291</v>
      </c>
    </row>
    <row r="197" spans="1:18" x14ac:dyDescent="0.2">
      <c r="A197" s="19" t="s">
        <v>49</v>
      </c>
      <c r="B197" s="56" t="s">
        <v>118</v>
      </c>
      <c r="D197" s="19">
        <v>1018576</v>
      </c>
      <c r="E197" s="19">
        <v>1312392</v>
      </c>
      <c r="F197" s="19">
        <v>1665109</v>
      </c>
      <c r="G197" s="19">
        <v>1837953</v>
      </c>
      <c r="H197" s="19">
        <v>1940854</v>
      </c>
      <c r="I197" s="19">
        <v>2076713.78</v>
      </c>
      <c r="J197" s="19">
        <v>2222083.7446000003</v>
      </c>
      <c r="K197" s="19">
        <v>2366519.1879990003</v>
      </c>
      <c r="L197" s="19">
        <v>2520342.9352189354</v>
      </c>
      <c r="M197" s="19">
        <v>2671563.5113320719</v>
      </c>
      <c r="N197" s="19">
        <v>2831857.3220119965</v>
      </c>
      <c r="O197" s="19">
        <v>2987609.474722656</v>
      </c>
      <c r="P197" s="19">
        <v>3151927.9958324018</v>
      </c>
      <c r="Q197" s="19">
        <v>3309524.395624022</v>
      </c>
      <c r="R197" s="19">
        <v>3475000.6154052233</v>
      </c>
    </row>
    <row r="198" spans="1:18" x14ac:dyDescent="0.2">
      <c r="A198" s="19" t="s">
        <v>51</v>
      </c>
      <c r="B198" s="56" t="s">
        <v>118</v>
      </c>
      <c r="D198" s="19">
        <v>5025</v>
      </c>
      <c r="E198" s="19">
        <v>2979</v>
      </c>
      <c r="F198" s="19">
        <v>4943</v>
      </c>
      <c r="G198" s="19">
        <v>7374</v>
      </c>
      <c r="H198" s="19">
        <v>3590</v>
      </c>
      <c r="I198" s="19">
        <v>6659.4424280250187</v>
      </c>
      <c r="J198" s="19">
        <v>7125.6033979867707</v>
      </c>
      <c r="K198" s="19">
        <v>7588.7676188559108</v>
      </c>
      <c r="L198" s="19">
        <v>8082.0375140815449</v>
      </c>
      <c r="M198" s="19">
        <v>8566.9597649264397</v>
      </c>
      <c r="N198" s="19">
        <v>9080.977350822026</v>
      </c>
      <c r="O198" s="19">
        <v>9580.4311051172372</v>
      </c>
      <c r="P198" s="19">
        <v>10107.354815898685</v>
      </c>
      <c r="Q198" s="19">
        <v>10612.722556693619</v>
      </c>
      <c r="R198" s="19">
        <v>11143.358684528301</v>
      </c>
    </row>
    <row r="199" spans="1:18" x14ac:dyDescent="0.2">
      <c r="A199" s="19" t="s">
        <v>53</v>
      </c>
      <c r="B199" s="56" t="s">
        <v>118</v>
      </c>
      <c r="D199" s="19">
        <v>1023601</v>
      </c>
      <c r="E199" s="19">
        <v>1315371</v>
      </c>
      <c r="F199" s="19">
        <v>1670052</v>
      </c>
      <c r="G199" s="19">
        <v>1845327</v>
      </c>
      <c r="H199" s="19">
        <v>1944444</v>
      </c>
      <c r="I199" s="19">
        <v>2083373.222428025</v>
      </c>
      <c r="J199" s="19">
        <v>2229209.3479979872</v>
      </c>
      <c r="K199" s="19">
        <v>2374107.9556178562</v>
      </c>
      <c r="L199" s="19">
        <v>2528424.9727330171</v>
      </c>
      <c r="M199" s="19">
        <v>2680130.4710969981</v>
      </c>
      <c r="N199" s="19">
        <v>2840938.2993628187</v>
      </c>
      <c r="O199" s="19">
        <v>2997189.9058277733</v>
      </c>
      <c r="P199" s="19">
        <v>3162035.3506483003</v>
      </c>
      <c r="Q199" s="19">
        <v>3320137.1181807155</v>
      </c>
      <c r="R199" s="19">
        <v>3486143.9740897515</v>
      </c>
    </row>
    <row r="200" spans="1:18" x14ac:dyDescent="0.2">
      <c r="A200" s="19" t="s">
        <v>55</v>
      </c>
      <c r="B200" s="56" t="s">
        <v>118</v>
      </c>
      <c r="D200" s="19">
        <v>196516</v>
      </c>
      <c r="E200" s="19">
        <v>270729</v>
      </c>
      <c r="F200" s="19">
        <v>422476</v>
      </c>
      <c r="G200" s="19">
        <v>456755</v>
      </c>
      <c r="H200" s="19">
        <v>493673</v>
      </c>
      <c r="I200" s="19">
        <v>480058.57485042565</v>
      </c>
      <c r="J200" s="19">
        <v>503389.42158815637</v>
      </c>
      <c r="K200" s="19">
        <v>509304.24729181721</v>
      </c>
      <c r="L200" s="19">
        <v>520712.66243115388</v>
      </c>
      <c r="M200" s="19">
        <v>529877.20528994233</v>
      </c>
      <c r="N200" s="19">
        <v>539203.04410304537</v>
      </c>
      <c r="O200" s="19">
        <v>568859.21152871277</v>
      </c>
      <c r="P200" s="19">
        <v>600146.46816279192</v>
      </c>
      <c r="Q200" s="19">
        <v>630153.79157093156</v>
      </c>
      <c r="R200" s="19">
        <v>661661.48114947812</v>
      </c>
    </row>
    <row r="201" spans="1:18" x14ac:dyDescent="0.2">
      <c r="A201" s="19" t="s">
        <v>57</v>
      </c>
      <c r="B201" s="56" t="s">
        <v>118</v>
      </c>
      <c r="D201" s="19">
        <v>7371</v>
      </c>
      <c r="E201" s="19">
        <v>19582</v>
      </c>
      <c r="F201" s="19">
        <v>9247</v>
      </c>
      <c r="G201" s="19">
        <v>11825</v>
      </c>
      <c r="H201" s="19">
        <v>18174</v>
      </c>
      <c r="I201" s="19">
        <v>18070.947624767105</v>
      </c>
      <c r="J201" s="19">
        <v>19335.913958500802</v>
      </c>
      <c r="K201" s="19">
        <v>20592.748365803356</v>
      </c>
      <c r="L201" s="19">
        <v>21931.277009580572</v>
      </c>
      <c r="M201" s="19">
        <v>23247.153630155412</v>
      </c>
      <c r="N201" s="19">
        <v>24641.98284796474</v>
      </c>
      <c r="O201" s="19">
        <v>25997.291904602796</v>
      </c>
      <c r="P201" s="19">
        <v>27427.142959355948</v>
      </c>
      <c r="Q201" s="19">
        <v>28798.500107323747</v>
      </c>
      <c r="R201" s="19">
        <v>30238.425112689936</v>
      </c>
    </row>
    <row r="202" spans="1:18" x14ac:dyDescent="0.2">
      <c r="A202" s="19" t="s">
        <v>292</v>
      </c>
      <c r="B202" s="56" t="s">
        <v>118</v>
      </c>
      <c r="D202" s="19">
        <v>-950</v>
      </c>
      <c r="E202" s="19">
        <v>2301</v>
      </c>
      <c r="F202" s="19">
        <v>-5187</v>
      </c>
      <c r="G202" s="19">
        <v>-3345</v>
      </c>
      <c r="H202" s="19">
        <v>-4996</v>
      </c>
      <c r="I202" s="19">
        <v>-5345.7199999999993</v>
      </c>
      <c r="J202" s="19">
        <v>-5719.9204000000009</v>
      </c>
      <c r="K202" s="19">
        <v>-6091.7152260000003</v>
      </c>
      <c r="L202" s="19">
        <v>-6487.6767156900005</v>
      </c>
      <c r="M202" s="19">
        <v>-6876.9373186314015</v>
      </c>
      <c r="N202" s="19">
        <v>-7289.5535577492865</v>
      </c>
      <c r="O202" s="19">
        <v>-7690.4790034254966</v>
      </c>
      <c r="P202" s="19">
        <v>-8113.4553486138984</v>
      </c>
      <c r="Q202" s="19">
        <v>-8519.1281160445924</v>
      </c>
      <c r="R202" s="19">
        <v>-8945.0845218468239</v>
      </c>
    </row>
    <row r="203" spans="1:18" x14ac:dyDescent="0.2">
      <c r="A203" s="19" t="s">
        <v>61</v>
      </c>
      <c r="B203" s="56" t="s">
        <v>118</v>
      </c>
      <c r="D203" s="19">
        <v>594267</v>
      </c>
      <c r="E203" s="19">
        <v>728548</v>
      </c>
      <c r="F203" s="19">
        <v>915117</v>
      </c>
      <c r="G203" s="19">
        <v>1025685</v>
      </c>
      <c r="H203" s="19">
        <v>1049345</v>
      </c>
      <c r="I203" s="19">
        <v>1157503.2558156415</v>
      </c>
      <c r="J203" s="19">
        <v>1238528.4837227366</v>
      </c>
      <c r="K203" s="19">
        <v>1305842.5068130672</v>
      </c>
      <c r="L203" s="19">
        <v>1376815.0470583574</v>
      </c>
      <c r="M203" s="19">
        <v>1444829.7103830406</v>
      </c>
      <c r="N203" s="19">
        <v>1516204.2980759633</v>
      </c>
      <c r="O203" s="19">
        <v>1583599.5791254395</v>
      </c>
      <c r="P203" s="19">
        <v>1653990.5804175651</v>
      </c>
      <c r="Q203" s="19">
        <v>1719323.2083440591</v>
      </c>
      <c r="R203" s="19">
        <v>1787236.4750736495</v>
      </c>
    </row>
    <row r="204" spans="1:18" x14ac:dyDescent="0.2">
      <c r="A204" s="19" t="s">
        <v>62</v>
      </c>
      <c r="B204" s="56" t="s">
        <v>118</v>
      </c>
      <c r="D204" s="19">
        <v>48549</v>
      </c>
      <c r="E204" s="19">
        <v>52312</v>
      </c>
      <c r="F204" s="19">
        <v>41183</v>
      </c>
      <c r="G204" s="19">
        <v>45210</v>
      </c>
      <c r="H204" s="19">
        <v>52180</v>
      </c>
      <c r="I204" s="19">
        <v>68008.076607814466</v>
      </c>
      <c r="J204" s="19">
        <v>72768.641970361496</v>
      </c>
      <c r="K204" s="19">
        <v>77498.603698434992</v>
      </c>
      <c r="L204" s="19">
        <v>82536.012938833272</v>
      </c>
      <c r="M204" s="19">
        <v>87488.17371516327</v>
      </c>
      <c r="N204" s="19">
        <v>92737.464138073075</v>
      </c>
      <c r="O204" s="19">
        <v>97838.024665667093</v>
      </c>
      <c r="P204" s="19">
        <v>103219.11602227877</v>
      </c>
      <c r="Q204" s="19">
        <v>108380.07182339272</v>
      </c>
      <c r="R204" s="19">
        <v>113799.07541456235</v>
      </c>
    </row>
    <row r="205" spans="1:18" x14ac:dyDescent="0.2">
      <c r="A205" s="19" t="s">
        <v>64</v>
      </c>
      <c r="B205" s="56" t="s">
        <v>118</v>
      </c>
      <c r="D205" s="19" t="s">
        <v>34</v>
      </c>
      <c r="E205" s="19" t="s">
        <v>34</v>
      </c>
      <c r="F205" s="19">
        <v>18368</v>
      </c>
      <c r="G205" s="19">
        <v>19525</v>
      </c>
      <c r="H205" s="19">
        <v>19666</v>
      </c>
      <c r="I205" s="19">
        <v>22004.162827796914</v>
      </c>
      <c r="J205" s="19">
        <v>23544.454225742698</v>
      </c>
      <c r="K205" s="19">
        <v>25074.843750415974</v>
      </c>
      <c r="L205" s="19">
        <v>26704.708594193013</v>
      </c>
      <c r="M205" s="19">
        <v>28306.991109844599</v>
      </c>
      <c r="N205" s="19">
        <v>30005.410576435279</v>
      </c>
      <c r="O205" s="19">
        <v>31655.708158139212</v>
      </c>
      <c r="P205" s="19">
        <v>33396.77210683687</v>
      </c>
      <c r="Q205" s="19">
        <v>35066.610712178714</v>
      </c>
      <c r="R205" s="19">
        <v>36819.941247787654</v>
      </c>
    </row>
    <row r="206" spans="1:18" x14ac:dyDescent="0.2">
      <c r="A206" s="19" t="s">
        <v>65</v>
      </c>
      <c r="B206" s="56" t="s">
        <v>118</v>
      </c>
      <c r="D206" s="19">
        <v>2267</v>
      </c>
      <c r="E206" s="19">
        <v>1478</v>
      </c>
      <c r="F206" s="19">
        <v>464</v>
      </c>
      <c r="G206" s="19">
        <v>689</v>
      </c>
      <c r="H206" s="19">
        <v>1286</v>
      </c>
      <c r="I206" s="19">
        <v>1938.8087880708692</v>
      </c>
      <c r="J206" s="19">
        <v>2074.5254032358303</v>
      </c>
      <c r="K206" s="19">
        <v>2209.3695544461593</v>
      </c>
      <c r="L206" s="19">
        <v>2352.9785754851596</v>
      </c>
      <c r="M206" s="19">
        <v>2494.1572900142696</v>
      </c>
      <c r="N206" s="19">
        <v>2643.8067274151263</v>
      </c>
      <c r="O206" s="19">
        <v>2789.2160974229578</v>
      </c>
      <c r="P206" s="19">
        <v>2942.6229827812203</v>
      </c>
      <c r="Q206" s="19">
        <v>3089.7541319202815</v>
      </c>
      <c r="R206" s="19">
        <v>3244.2418385162955</v>
      </c>
    </row>
    <row r="207" spans="1:18" x14ac:dyDescent="0.2">
      <c r="A207" s="19" t="s">
        <v>67</v>
      </c>
      <c r="B207" s="56" t="s">
        <v>118</v>
      </c>
      <c r="D207" s="19">
        <v>23201</v>
      </c>
      <c r="E207" s="19">
        <v>21719</v>
      </c>
      <c r="F207" s="19">
        <v>21059</v>
      </c>
      <c r="G207" s="19">
        <v>21190</v>
      </c>
      <c r="H207" s="19">
        <v>23298</v>
      </c>
      <c r="I207" s="19">
        <v>31361.449178577066</v>
      </c>
      <c r="J207" s="19">
        <v>33556.750621077466</v>
      </c>
      <c r="K207" s="19">
        <v>35737.9394114475</v>
      </c>
      <c r="L207" s="19">
        <v>38060.905473191589</v>
      </c>
      <c r="M207" s="19">
        <v>40344.559801583091</v>
      </c>
      <c r="N207" s="19">
        <v>42765.233389678084</v>
      </c>
      <c r="O207" s="19">
        <v>45117.321226110369</v>
      </c>
      <c r="P207" s="19">
        <v>47598.773893546437</v>
      </c>
      <c r="Q207" s="19">
        <v>49978.71258822376</v>
      </c>
      <c r="R207" s="19">
        <v>52477.648217634953</v>
      </c>
    </row>
    <row r="208" spans="1:18" x14ac:dyDescent="0.2">
      <c r="A208" s="19" t="s">
        <v>69</v>
      </c>
      <c r="B208" s="56" t="s">
        <v>118</v>
      </c>
      <c r="D208" s="19">
        <v>134717</v>
      </c>
      <c r="E208" s="19">
        <v>169258</v>
      </c>
      <c r="F208" s="19">
        <v>202282</v>
      </c>
      <c r="G208" s="19">
        <v>212679</v>
      </c>
      <c r="H208" s="19">
        <v>228731</v>
      </c>
      <c r="I208" s="19">
        <v>255966.52275715757</v>
      </c>
      <c r="J208" s="19">
        <v>273884.17935015861</v>
      </c>
      <c r="K208" s="19">
        <v>288769.78449783975</v>
      </c>
      <c r="L208" s="19">
        <v>304464.42228529736</v>
      </c>
      <c r="M208" s="19">
        <v>319504.96474619111</v>
      </c>
      <c r="N208" s="19">
        <v>335288.51000465296</v>
      </c>
      <c r="O208" s="19">
        <v>343117.49671326159</v>
      </c>
      <c r="P208" s="19">
        <v>351129.29026151617</v>
      </c>
      <c r="Q208" s="19">
        <v>357625.18213135423</v>
      </c>
      <c r="R208" s="19">
        <v>364241.24800078425</v>
      </c>
    </row>
    <row r="209" spans="1:18" x14ac:dyDescent="0.2">
      <c r="A209" s="19" t="s">
        <v>71</v>
      </c>
      <c r="B209" s="56" t="s">
        <v>118</v>
      </c>
      <c r="D209" s="19">
        <v>1005938</v>
      </c>
      <c r="E209" s="19">
        <v>1265927</v>
      </c>
      <c r="F209" s="19">
        <v>1625009</v>
      </c>
      <c r="G209" s="19">
        <v>1790213</v>
      </c>
      <c r="H209" s="19">
        <v>1881357</v>
      </c>
      <c r="I209" s="19">
        <v>2029566.0784502514</v>
      </c>
      <c r="J209" s="19">
        <v>2161362.45043997</v>
      </c>
      <c r="K209" s="19">
        <v>2258938.3281572722</v>
      </c>
      <c r="L209" s="19">
        <v>2367090.337650402</v>
      </c>
      <c r="M209" s="19">
        <v>2469215.9786473033</v>
      </c>
      <c r="N209" s="19">
        <v>2576200.1963054785</v>
      </c>
      <c r="O209" s="19">
        <v>2691283.3704159306</v>
      </c>
      <c r="P209" s="19">
        <v>2811737.3114580587</v>
      </c>
      <c r="Q209" s="19">
        <v>2923896.7032933389</v>
      </c>
      <c r="R209" s="19">
        <v>3040773.4515332561</v>
      </c>
    </row>
    <row r="210" spans="1:18" x14ac:dyDescent="0.2">
      <c r="A210" s="19" t="s">
        <v>72</v>
      </c>
      <c r="B210" s="56" t="s">
        <v>118</v>
      </c>
      <c r="D210" s="19">
        <v>17663</v>
      </c>
      <c r="E210" s="19">
        <v>49444</v>
      </c>
      <c r="F210" s="19">
        <v>45043</v>
      </c>
      <c r="G210" s="19">
        <v>55114</v>
      </c>
      <c r="H210" s="19">
        <v>63087</v>
      </c>
      <c r="I210" s="19">
        <v>53807.143977773609</v>
      </c>
      <c r="J210" s="19">
        <v>67846.897558017168</v>
      </c>
      <c r="K210" s="19">
        <v>115169.62746058404</v>
      </c>
      <c r="L210" s="19">
        <v>161334.63508261507</v>
      </c>
      <c r="M210" s="19">
        <v>210914.49244969478</v>
      </c>
      <c r="N210" s="19">
        <v>264738.10305734025</v>
      </c>
      <c r="O210" s="19">
        <v>305906.53541184263</v>
      </c>
      <c r="P210" s="19">
        <v>350298.0391902416</v>
      </c>
      <c r="Q210" s="19">
        <v>396240.4148873766</v>
      </c>
      <c r="R210" s="19">
        <v>445370.52255649539</v>
      </c>
    </row>
    <row r="211" spans="1:18" x14ac:dyDescent="0.2">
      <c r="A211" s="19" t="s">
        <v>73</v>
      </c>
      <c r="B211" s="56" t="s">
        <v>118</v>
      </c>
      <c r="D211" s="19">
        <v>-722</v>
      </c>
      <c r="E211" s="19">
        <v>0</v>
      </c>
      <c r="F211" s="19">
        <v>-3312</v>
      </c>
      <c r="G211" s="19">
        <v>0</v>
      </c>
      <c r="H211" s="19">
        <v>-2576</v>
      </c>
      <c r="I211" s="19">
        <v>0</v>
      </c>
      <c r="J211" s="19">
        <v>0</v>
      </c>
      <c r="K211" s="19">
        <v>0</v>
      </c>
      <c r="L211" s="19">
        <v>0</v>
      </c>
      <c r="M211" s="19">
        <v>0</v>
      </c>
      <c r="N211" s="19">
        <v>0</v>
      </c>
      <c r="O211" s="19">
        <v>0</v>
      </c>
      <c r="P211" s="19">
        <v>0</v>
      </c>
      <c r="Q211" s="19">
        <v>0</v>
      </c>
      <c r="R211" s="19">
        <v>0</v>
      </c>
    </row>
    <row r="212" spans="1:18" x14ac:dyDescent="0.2">
      <c r="A212" s="19" t="s">
        <v>75</v>
      </c>
      <c r="B212" s="56" t="s">
        <v>118</v>
      </c>
      <c r="D212" s="19">
        <v>16941</v>
      </c>
      <c r="E212" s="19">
        <v>49444</v>
      </c>
      <c r="F212" s="19">
        <v>41731</v>
      </c>
      <c r="G212" s="19">
        <v>55114</v>
      </c>
      <c r="H212" s="19">
        <v>60511</v>
      </c>
      <c r="I212" s="19">
        <v>53807.143977773609</v>
      </c>
      <c r="J212" s="19">
        <v>67846.897558017168</v>
      </c>
      <c r="K212" s="19">
        <v>115169.62746058404</v>
      </c>
      <c r="L212" s="19">
        <v>161334.63508261507</v>
      </c>
      <c r="M212" s="19">
        <v>210914.49244969478</v>
      </c>
      <c r="N212" s="19">
        <v>264738.10305734025</v>
      </c>
      <c r="O212" s="19">
        <v>305906.53541184263</v>
      </c>
      <c r="P212" s="19">
        <v>350298.0391902416</v>
      </c>
      <c r="Q212" s="19">
        <v>396240.4148873766</v>
      </c>
      <c r="R212" s="19">
        <v>445370.52255649539</v>
      </c>
    </row>
    <row r="213" spans="1:18" x14ac:dyDescent="0.2">
      <c r="A213" s="19" t="s">
        <v>293</v>
      </c>
      <c r="B213" s="56" t="s">
        <v>118</v>
      </c>
      <c r="D213" s="19">
        <v>-5558</v>
      </c>
      <c r="E213" s="19">
        <v>-12836</v>
      </c>
      <c r="F213" s="19">
        <v>-11263</v>
      </c>
      <c r="G213" s="19">
        <v>-14028</v>
      </c>
      <c r="H213" s="19">
        <v>-16270</v>
      </c>
      <c r="I213" s="19">
        <v>-16142.143193332082</v>
      </c>
      <c r="J213" s="19">
        <v>-20354.06926740515</v>
      </c>
      <c r="K213" s="19">
        <v>-34550.888238175212</v>
      </c>
      <c r="L213" s="19">
        <v>-48400.390524784518</v>
      </c>
      <c r="M213" s="19">
        <v>-63274.347734908428</v>
      </c>
      <c r="N213" s="19">
        <v>-79421.430917202073</v>
      </c>
      <c r="O213" s="19">
        <v>-91771.96062355279</v>
      </c>
      <c r="P213" s="19">
        <v>-105089.41175707248</v>
      </c>
      <c r="Q213" s="19">
        <v>-118872.12446621298</v>
      </c>
      <c r="R213" s="19">
        <v>-133611.15676694861</v>
      </c>
    </row>
    <row r="214" spans="1:18" x14ac:dyDescent="0.2">
      <c r="A214" s="19" t="s">
        <v>81</v>
      </c>
      <c r="B214" s="56" t="s">
        <v>118</v>
      </c>
      <c r="D214" s="19">
        <v>11383</v>
      </c>
      <c r="E214" s="19">
        <v>36608</v>
      </c>
      <c r="F214" s="19">
        <v>30468</v>
      </c>
      <c r="G214" s="19">
        <v>41086</v>
      </c>
      <c r="H214" s="19">
        <v>44241</v>
      </c>
      <c r="I214" s="19">
        <v>37665.000784441523</v>
      </c>
      <c r="J214" s="19">
        <v>47492.828290612015</v>
      </c>
      <c r="K214" s="19">
        <v>80618.739222408825</v>
      </c>
      <c r="L214" s="19">
        <v>112934.24455783056</v>
      </c>
      <c r="M214" s="19">
        <v>147640.14471478635</v>
      </c>
      <c r="N214" s="19">
        <v>185316.67214013817</v>
      </c>
      <c r="O214" s="19">
        <v>214134.57478828984</v>
      </c>
      <c r="P214" s="19">
        <v>245208.62743316911</v>
      </c>
      <c r="Q214" s="19">
        <v>277368.29042116361</v>
      </c>
      <c r="R214" s="19">
        <v>311759.36578954675</v>
      </c>
    </row>
    <row r="215" spans="1:18" x14ac:dyDescent="0.2">
      <c r="A215" s="19" t="s">
        <v>335</v>
      </c>
      <c r="B215" s="56" t="s">
        <v>118</v>
      </c>
      <c r="D215" s="19">
        <v>19208</v>
      </c>
      <c r="E215" s="19">
        <v>50922</v>
      </c>
      <c r="F215" s="19">
        <v>42195</v>
      </c>
      <c r="G215" s="19">
        <v>55803</v>
      </c>
      <c r="H215" s="19">
        <v>61797</v>
      </c>
      <c r="I215" s="19">
        <v>55745.952765844479</v>
      </c>
      <c r="J215" s="19">
        <v>69921.422961253003</v>
      </c>
      <c r="K215" s="19">
        <v>117378.99701503021</v>
      </c>
      <c r="L215" s="19">
        <v>163687.61365810022</v>
      </c>
      <c r="M215" s="19">
        <v>213408.64973970904</v>
      </c>
      <c r="N215" s="19">
        <v>267381.90978475538</v>
      </c>
      <c r="O215" s="19">
        <v>308695.75150926557</v>
      </c>
      <c r="P215" s="19">
        <v>353240.66217302281</v>
      </c>
      <c r="Q215" s="19">
        <v>399330.16901929688</v>
      </c>
      <c r="R215" s="19">
        <v>448614.76439501171</v>
      </c>
    </row>
    <row r="217" spans="1:18" x14ac:dyDescent="0.2">
      <c r="A217" s="19" t="s">
        <v>178</v>
      </c>
    </row>
    <row r="218" spans="1:18" x14ac:dyDescent="0.2">
      <c r="A218" s="19" t="s">
        <v>25</v>
      </c>
      <c r="B218" s="56" t="s">
        <v>118</v>
      </c>
      <c r="D218" s="19">
        <v>40940</v>
      </c>
      <c r="E218" s="19">
        <v>86260</v>
      </c>
      <c r="F218" s="19">
        <v>32986</v>
      </c>
      <c r="G218" s="19">
        <v>12915</v>
      </c>
      <c r="H218" s="19">
        <v>34192</v>
      </c>
      <c r="I218" s="19">
        <v>61133.118861259456</v>
      </c>
      <c r="J218" s="19">
        <v>69306.31359131803</v>
      </c>
      <c r="K218" s="19">
        <v>93794.650816916954</v>
      </c>
      <c r="L218" s="19">
        <v>131703.50115284516</v>
      </c>
      <c r="M218" s="19">
        <v>184905.32349633172</v>
      </c>
      <c r="N218" s="19">
        <v>252426.40093994667</v>
      </c>
      <c r="O218" s="19">
        <v>341863.57157785632</v>
      </c>
      <c r="P218" s="19">
        <v>442676.8606624353</v>
      </c>
      <c r="Q218" s="19">
        <v>560953.05994399707</v>
      </c>
      <c r="R218" s="19">
        <v>694373.04852137319</v>
      </c>
    </row>
    <row r="220" spans="1:18" x14ac:dyDescent="0.2">
      <c r="A220" s="19" t="s">
        <v>24</v>
      </c>
      <c r="B220" s="56" t="s">
        <v>118</v>
      </c>
      <c r="D220" s="19">
        <v>139499</v>
      </c>
      <c r="E220" s="19">
        <v>125486</v>
      </c>
      <c r="F220" s="19">
        <v>140732</v>
      </c>
      <c r="G220" s="19">
        <v>231384</v>
      </c>
      <c r="H220" s="19">
        <v>286063</v>
      </c>
      <c r="I220" s="19">
        <v>245349.93399853565</v>
      </c>
      <c r="J220" s="19">
        <v>262524.42937843315</v>
      </c>
      <c r="K220" s="19">
        <v>278824.61423533177</v>
      </c>
      <c r="L220" s="19">
        <v>297761.77091175335</v>
      </c>
      <c r="M220" s="19">
        <v>315627.47716645862</v>
      </c>
      <c r="N220" s="19">
        <v>334565.12579644617</v>
      </c>
      <c r="O220" s="19">
        <v>352001.81916958059</v>
      </c>
      <c r="P220" s="19">
        <v>372379.34913958941</v>
      </c>
      <c r="Q220" s="19">
        <v>390998.31659656885</v>
      </c>
      <c r="R220" s="19">
        <v>410548.23242639739</v>
      </c>
    </row>
    <row r="221" spans="1:18" x14ac:dyDescent="0.2">
      <c r="A221" s="19" t="s">
        <v>23</v>
      </c>
      <c r="B221" s="56" t="s">
        <v>118</v>
      </c>
      <c r="D221" s="19">
        <v>113668</v>
      </c>
      <c r="E221" s="19">
        <v>93581</v>
      </c>
      <c r="F221" s="19">
        <v>142781</v>
      </c>
      <c r="G221" s="19">
        <v>136874</v>
      </c>
      <c r="H221" s="19">
        <v>161643</v>
      </c>
      <c r="I221" s="19">
        <v>180220.79737319535</v>
      </c>
      <c r="J221" s="19">
        <v>189079.12089639143</v>
      </c>
      <c r="K221" s="19">
        <v>191042.56203977452</v>
      </c>
      <c r="L221" s="19">
        <v>196082.96518594321</v>
      </c>
      <c r="M221" s="19">
        <v>199773.50186753366</v>
      </c>
      <c r="N221" s="19">
        <v>203543.36058437926</v>
      </c>
      <c r="O221" s="19">
        <v>214151.52889898862</v>
      </c>
      <c r="P221" s="19">
        <v>226548.84891442864</v>
      </c>
      <c r="Q221" s="19">
        <v>237876.29136015012</v>
      </c>
      <c r="R221" s="19">
        <v>249770.1059281576</v>
      </c>
    </row>
    <row r="223" spans="1:18" x14ac:dyDescent="0.2">
      <c r="A223" s="19" t="s">
        <v>27</v>
      </c>
      <c r="B223" s="56" t="s">
        <v>118</v>
      </c>
      <c r="D223" s="19">
        <v>31689</v>
      </c>
      <c r="E223" s="19">
        <v>27275</v>
      </c>
      <c r="F223" s="19">
        <v>45013</v>
      </c>
      <c r="G223" s="19">
        <v>51122</v>
      </c>
      <c r="H223" s="19">
        <v>52423</v>
      </c>
      <c r="I223" s="19">
        <v>55655.929304000005</v>
      </c>
      <c r="J223" s="19">
        <v>59551.844355280009</v>
      </c>
      <c r="K223" s="19">
        <v>63422.714238373213</v>
      </c>
      <c r="L223" s="19">
        <v>67545.19066386747</v>
      </c>
      <c r="M223" s="19">
        <v>71597.902103699525</v>
      </c>
      <c r="N223" s="19">
        <v>75893.77622992151</v>
      </c>
      <c r="O223" s="19">
        <v>80067.933922567187</v>
      </c>
      <c r="P223" s="19">
        <v>84471.670288308378</v>
      </c>
      <c r="Q223" s="19">
        <v>88695.25380272379</v>
      </c>
      <c r="R223" s="19">
        <v>93130.016492859984</v>
      </c>
    </row>
    <row r="224" spans="1:18" x14ac:dyDescent="0.2">
      <c r="A224" s="19" t="s">
        <v>8</v>
      </c>
      <c r="B224" s="56" t="s">
        <v>118</v>
      </c>
      <c r="D224" s="19">
        <v>325796</v>
      </c>
      <c r="E224" s="19">
        <v>332602</v>
      </c>
      <c r="F224" s="19">
        <v>361512</v>
      </c>
      <c r="G224" s="19">
        <v>432295</v>
      </c>
      <c r="H224" s="19">
        <v>534321</v>
      </c>
      <c r="I224" s="19">
        <v>542359.77953699045</v>
      </c>
      <c r="J224" s="19">
        <v>580461.70822142262</v>
      </c>
      <c r="K224" s="19">
        <v>627084.54133039643</v>
      </c>
      <c r="L224" s="19">
        <v>693093.4279144092</v>
      </c>
      <c r="M224" s="19">
        <v>771904.20463402348</v>
      </c>
      <c r="N224" s="19">
        <v>866428.66355069366</v>
      </c>
      <c r="O224" s="19">
        <v>988084.85356899269</v>
      </c>
      <c r="P224" s="19">
        <v>1126076.7290047617</v>
      </c>
      <c r="Q224" s="19">
        <v>1278522.9217034397</v>
      </c>
      <c r="R224" s="19">
        <v>1447821.4033687881</v>
      </c>
    </row>
    <row r="225" spans="1:18" x14ac:dyDescent="0.2">
      <c r="A225" s="19" t="s">
        <v>13</v>
      </c>
      <c r="B225" s="56" t="s">
        <v>118</v>
      </c>
      <c r="D225" s="19">
        <v>192203</v>
      </c>
      <c r="E225" s="19">
        <v>189008</v>
      </c>
      <c r="F225" s="19">
        <v>183235</v>
      </c>
      <c r="G225" s="19">
        <v>176009</v>
      </c>
      <c r="H225" s="19">
        <v>173512</v>
      </c>
      <c r="I225" s="19">
        <v>179998.95410149579</v>
      </c>
      <c r="J225" s="19">
        <v>176366.1118246206</v>
      </c>
      <c r="K225" s="19">
        <v>172497.13479974851</v>
      </c>
      <c r="L225" s="19">
        <v>168376.67426825973</v>
      </c>
      <c r="M225" s="19">
        <v>164008.98610488165</v>
      </c>
      <c r="N225" s="19">
        <v>159379.23665170086</v>
      </c>
      <c r="O225" s="19">
        <v>154494.85097859512</v>
      </c>
      <c r="P225" s="19">
        <v>149341.8240934686</v>
      </c>
      <c r="Q225" s="19">
        <v>143931.14586408573</v>
      </c>
      <c r="R225" s="19">
        <v>138249.93372323373</v>
      </c>
    </row>
    <row r="226" spans="1:18" x14ac:dyDescent="0.2">
      <c r="A226" s="19" t="s">
        <v>14</v>
      </c>
      <c r="B226" s="56" t="s">
        <v>118</v>
      </c>
      <c r="D226" s="19">
        <v>12879</v>
      </c>
      <c r="E226" s="19">
        <v>10989</v>
      </c>
      <c r="F226" s="19">
        <v>7713</v>
      </c>
      <c r="G226" s="19">
        <v>17268</v>
      </c>
      <c r="H226" s="19">
        <v>25337</v>
      </c>
      <c r="I226" s="19">
        <v>14600.703117727957</v>
      </c>
      <c r="J226" s="19">
        <v>14306.023341265052</v>
      </c>
      <c r="K226" s="19">
        <v>13992.189379332058</v>
      </c>
      <c r="L226" s="19">
        <v>13657.956209873417</v>
      </c>
      <c r="M226" s="19">
        <v>13303.669050247259</v>
      </c>
      <c r="N226" s="19">
        <v>12928.124661043532</v>
      </c>
      <c r="O226" s="19">
        <v>12531.9253304336</v>
      </c>
      <c r="P226" s="19">
        <v>12113.935036640123</v>
      </c>
      <c r="Q226" s="19">
        <v>11675.045228156971</v>
      </c>
      <c r="R226" s="19">
        <v>11214.210929249661</v>
      </c>
    </row>
    <row r="227" spans="1:18" x14ac:dyDescent="0.2">
      <c r="A227" s="19" t="s">
        <v>15</v>
      </c>
      <c r="B227" s="56" t="s">
        <v>118</v>
      </c>
      <c r="D227" s="19">
        <v>2098</v>
      </c>
      <c r="E227" s="19">
        <v>1638</v>
      </c>
      <c r="F227" s="19">
        <v>1223</v>
      </c>
      <c r="G227" s="19">
        <v>904</v>
      </c>
      <c r="H227" s="19">
        <v>737</v>
      </c>
      <c r="I227" s="19">
        <v>1291.4027018931156</v>
      </c>
      <c r="J227" s="19">
        <v>1265.3388708262819</v>
      </c>
      <c r="K227" s="19">
        <v>1237.5808907401038</v>
      </c>
      <c r="L227" s="19">
        <v>1208.0186419483241</v>
      </c>
      <c r="M227" s="19">
        <v>1176.6826582290375</v>
      </c>
      <c r="N227" s="19">
        <v>1143.4665154865941</v>
      </c>
      <c r="O227" s="19">
        <v>1108.4234848933161</v>
      </c>
      <c r="P227" s="19">
        <v>1071.4530876174078</v>
      </c>
      <c r="Q227" s="19">
        <v>1032.6341704777042</v>
      </c>
      <c r="R227" s="19">
        <v>991.87430748101519</v>
      </c>
    </row>
    <row r="228" spans="1:18" x14ac:dyDescent="0.2">
      <c r="A228" s="19" t="s">
        <v>16</v>
      </c>
      <c r="B228" s="56" t="s">
        <v>118</v>
      </c>
      <c r="D228" s="19">
        <v>645</v>
      </c>
      <c r="E228" s="19">
        <v>645</v>
      </c>
      <c r="F228" s="19">
        <v>645</v>
      </c>
      <c r="G228" s="19">
        <v>645</v>
      </c>
      <c r="H228" s="19">
        <v>645</v>
      </c>
      <c r="I228" s="19">
        <v>0</v>
      </c>
      <c r="J228" s="19">
        <v>0</v>
      </c>
      <c r="K228" s="19">
        <v>0</v>
      </c>
      <c r="L228" s="19">
        <v>0</v>
      </c>
      <c r="M228" s="19">
        <v>0</v>
      </c>
      <c r="N228" s="19">
        <v>0</v>
      </c>
      <c r="O228" s="19">
        <v>0</v>
      </c>
      <c r="P228" s="19">
        <v>0</v>
      </c>
      <c r="Q228" s="19">
        <v>0</v>
      </c>
      <c r="R228" s="19">
        <v>0</v>
      </c>
    </row>
    <row r="229" spans="1:18" x14ac:dyDescent="0.2">
      <c r="A229" s="19" t="s">
        <v>17</v>
      </c>
      <c r="B229" s="56" t="s">
        <v>118</v>
      </c>
      <c r="D229" s="19">
        <v>606</v>
      </c>
      <c r="E229" s="19">
        <v>835</v>
      </c>
      <c r="F229" s="19">
        <v>805</v>
      </c>
      <c r="G229" s="19">
        <v>797</v>
      </c>
      <c r="H229" s="19">
        <v>785</v>
      </c>
      <c r="I229" s="19">
        <v>0</v>
      </c>
      <c r="J229" s="19">
        <v>0</v>
      </c>
      <c r="K229" s="19">
        <v>0</v>
      </c>
      <c r="L229" s="19">
        <v>0</v>
      </c>
      <c r="M229" s="19">
        <v>0</v>
      </c>
      <c r="N229" s="19">
        <v>0</v>
      </c>
      <c r="O229" s="19">
        <v>0</v>
      </c>
      <c r="P229" s="19">
        <v>0</v>
      </c>
      <c r="Q229" s="19">
        <v>0</v>
      </c>
      <c r="R229" s="19">
        <v>0</v>
      </c>
    </row>
    <row r="230" spans="1:18" x14ac:dyDescent="0.2">
      <c r="A230" s="19" t="s">
        <v>19</v>
      </c>
      <c r="B230" s="56" t="s">
        <v>118</v>
      </c>
      <c r="D230" s="19">
        <v>20395</v>
      </c>
      <c r="E230" s="19">
        <v>20199</v>
      </c>
      <c r="F230" s="19">
        <v>22138</v>
      </c>
      <c r="G230" s="19">
        <v>21135</v>
      </c>
      <c r="H230" s="19">
        <v>22596</v>
      </c>
      <c r="I230" s="19">
        <v>22596</v>
      </c>
      <c r="J230" s="19">
        <v>22596</v>
      </c>
      <c r="K230" s="19">
        <v>22596</v>
      </c>
      <c r="L230" s="19">
        <v>22596</v>
      </c>
      <c r="M230" s="19">
        <v>22596</v>
      </c>
      <c r="N230" s="19">
        <v>22596</v>
      </c>
      <c r="O230" s="19">
        <v>22596</v>
      </c>
      <c r="P230" s="19">
        <v>22596</v>
      </c>
      <c r="Q230" s="19">
        <v>22596</v>
      </c>
      <c r="R230" s="19">
        <v>22596</v>
      </c>
    </row>
    <row r="231" spans="1:18" x14ac:dyDescent="0.2">
      <c r="A231" s="19" t="s">
        <v>20</v>
      </c>
      <c r="B231" s="56" t="s">
        <v>118</v>
      </c>
      <c r="D231" s="19">
        <v>3497</v>
      </c>
      <c r="E231" s="19">
        <v>3844</v>
      </c>
      <c r="F231" s="19">
        <v>4501</v>
      </c>
      <c r="G231" s="19">
        <v>5293</v>
      </c>
      <c r="H231" s="19">
        <v>6674</v>
      </c>
      <c r="I231" s="19">
        <v>6674</v>
      </c>
      <c r="J231" s="19">
        <v>6674</v>
      </c>
      <c r="K231" s="19">
        <v>6674</v>
      </c>
      <c r="L231" s="19">
        <v>6674</v>
      </c>
      <c r="M231" s="19">
        <v>6674</v>
      </c>
      <c r="N231" s="19">
        <v>6674</v>
      </c>
      <c r="O231" s="19">
        <v>6674</v>
      </c>
      <c r="P231" s="19">
        <v>6674</v>
      </c>
      <c r="Q231" s="19">
        <v>6674</v>
      </c>
      <c r="R231" s="19">
        <v>6674</v>
      </c>
    </row>
    <row r="232" spans="1:18" x14ac:dyDescent="0.2">
      <c r="A232" s="19" t="s">
        <v>18</v>
      </c>
      <c r="B232" s="56" t="s">
        <v>118</v>
      </c>
      <c r="D232" s="19">
        <v>4711</v>
      </c>
      <c r="E232" s="19">
        <v>4816</v>
      </c>
      <c r="F232" s="19">
        <v>4676</v>
      </c>
      <c r="G232" s="19">
        <v>3937</v>
      </c>
      <c r="H232" s="19">
        <v>4498</v>
      </c>
      <c r="I232" s="19">
        <v>4498</v>
      </c>
      <c r="J232" s="19">
        <v>4498</v>
      </c>
      <c r="K232" s="19">
        <v>4498</v>
      </c>
      <c r="L232" s="19">
        <v>4498</v>
      </c>
      <c r="M232" s="19">
        <v>4498</v>
      </c>
      <c r="N232" s="19">
        <v>4498</v>
      </c>
      <c r="O232" s="19">
        <v>4498</v>
      </c>
      <c r="P232" s="19">
        <v>4498</v>
      </c>
      <c r="Q232" s="19">
        <v>4498</v>
      </c>
      <c r="R232" s="19">
        <v>4498</v>
      </c>
    </row>
    <row r="233" spans="1:18" x14ac:dyDescent="0.2">
      <c r="A233" s="19" t="s">
        <v>21</v>
      </c>
      <c r="B233" s="56" t="s">
        <v>118</v>
      </c>
      <c r="D233" s="19">
        <v>15826</v>
      </c>
      <c r="E233" s="19">
        <v>25044</v>
      </c>
      <c r="F233" s="19">
        <v>34458</v>
      </c>
      <c r="G233" s="19">
        <v>37802</v>
      </c>
      <c r="H233" s="19">
        <v>42203</v>
      </c>
      <c r="I233" s="19">
        <v>42203</v>
      </c>
      <c r="J233" s="19">
        <v>42203</v>
      </c>
      <c r="K233" s="19">
        <v>42203</v>
      </c>
      <c r="L233" s="19">
        <v>42203</v>
      </c>
      <c r="M233" s="19">
        <v>42203</v>
      </c>
      <c r="N233" s="19">
        <v>42203</v>
      </c>
      <c r="O233" s="19">
        <v>42203</v>
      </c>
      <c r="P233" s="19">
        <v>42203</v>
      </c>
      <c r="Q233" s="19">
        <v>42203</v>
      </c>
      <c r="R233" s="19">
        <v>42203</v>
      </c>
    </row>
    <row r="234" spans="1:18" x14ac:dyDescent="0.2">
      <c r="A234" s="19" t="s">
        <v>7</v>
      </c>
      <c r="B234" s="56" t="s">
        <v>118</v>
      </c>
      <c r="D234" s="19">
        <v>252860</v>
      </c>
      <c r="E234" s="19">
        <v>257018</v>
      </c>
      <c r="F234" s="19">
        <v>259394</v>
      </c>
      <c r="G234" s="19">
        <v>263790</v>
      </c>
      <c r="H234" s="19">
        <v>276987</v>
      </c>
      <c r="I234" s="19">
        <v>271862.05992111686</v>
      </c>
      <c r="J234" s="19">
        <v>267908.47403671197</v>
      </c>
      <c r="K234" s="19">
        <v>263697.9050698207</v>
      </c>
      <c r="L234" s="19">
        <v>259213.64912008148</v>
      </c>
      <c r="M234" s="19">
        <v>254460.33781335794</v>
      </c>
      <c r="N234" s="19">
        <v>249421.82782823098</v>
      </c>
      <c r="O234" s="19">
        <v>244106.19979392202</v>
      </c>
      <c r="P234" s="19">
        <v>238498.21221772613</v>
      </c>
      <c r="Q234" s="19">
        <v>232609.82526272041</v>
      </c>
      <c r="R234" s="19">
        <v>226427.01895996442</v>
      </c>
    </row>
    <row r="235" spans="1:18" x14ac:dyDescent="0.2">
      <c r="A235" s="19" t="s">
        <v>29</v>
      </c>
      <c r="B235" s="56" t="s">
        <v>118</v>
      </c>
      <c r="D235" s="19">
        <v>488</v>
      </c>
      <c r="E235" s="19">
        <v>488</v>
      </c>
      <c r="F235" s="19">
        <v>486</v>
      </c>
      <c r="G235" s="19">
        <v>493</v>
      </c>
      <c r="H235" s="19">
        <v>486</v>
      </c>
      <c r="I235" s="19">
        <v>488.2</v>
      </c>
      <c r="J235" s="19">
        <v>488.23999999999995</v>
      </c>
      <c r="K235" s="19">
        <v>488.28800000000001</v>
      </c>
      <c r="L235" s="19">
        <v>488.74560000000002</v>
      </c>
      <c r="M235" s="19">
        <v>487.89472000000006</v>
      </c>
      <c r="N235" s="19">
        <v>488.273664</v>
      </c>
      <c r="O235" s="19">
        <v>488.28839679999999</v>
      </c>
      <c r="P235" s="19">
        <v>488.29807615999999</v>
      </c>
      <c r="Q235" s="19">
        <v>488.30009139200001</v>
      </c>
      <c r="R235" s="19">
        <v>488.21098967039995</v>
      </c>
    </row>
    <row r="236" spans="1:18" x14ac:dyDescent="0.2">
      <c r="A236" s="19" t="s">
        <v>294</v>
      </c>
      <c r="B236" s="56" t="s">
        <v>118</v>
      </c>
      <c r="D236" s="19">
        <v>585216</v>
      </c>
      <c r="E236" s="19">
        <v>594931</v>
      </c>
      <c r="F236" s="19">
        <v>628039</v>
      </c>
      <c r="G236" s="19">
        <v>705337</v>
      </c>
      <c r="H236" s="19">
        <v>822279</v>
      </c>
      <c r="I236" s="19">
        <v>814710.0394581072</v>
      </c>
      <c r="J236" s="19">
        <v>848858.42225813458</v>
      </c>
      <c r="K236" s="19">
        <v>891270.73440021707</v>
      </c>
      <c r="L236" s="19">
        <v>952795.82263449067</v>
      </c>
      <c r="M236" s="19">
        <v>1026852.4371673814</v>
      </c>
      <c r="N236" s="19">
        <v>1116338.7650429246</v>
      </c>
      <c r="O236" s="19">
        <v>1232679.3417597148</v>
      </c>
      <c r="P236" s="19">
        <v>1365063.2392986477</v>
      </c>
      <c r="Q236" s="19">
        <v>1511621.047057552</v>
      </c>
      <c r="R236" s="19">
        <v>1674736.6333184228</v>
      </c>
    </row>
    <row r="237" spans="1:18" x14ac:dyDescent="0.2">
      <c r="A237" s="19" t="s">
        <v>31</v>
      </c>
      <c r="B237" s="56" t="s">
        <v>118</v>
      </c>
      <c r="D237" s="19">
        <v>2644</v>
      </c>
      <c r="E237" s="19">
        <v>2644</v>
      </c>
      <c r="F237" s="19">
        <v>2644</v>
      </c>
      <c r="G237" s="19">
        <v>2644</v>
      </c>
      <c r="H237" s="19">
        <v>2644</v>
      </c>
      <c r="I237" s="19">
        <v>2644</v>
      </c>
      <c r="J237" s="19">
        <v>2644</v>
      </c>
      <c r="K237" s="19">
        <v>2644</v>
      </c>
      <c r="L237" s="19">
        <v>2644</v>
      </c>
      <c r="M237" s="19">
        <v>2644</v>
      </c>
      <c r="N237" s="19">
        <v>2644</v>
      </c>
      <c r="O237" s="19">
        <v>2644</v>
      </c>
      <c r="P237" s="19">
        <v>2644</v>
      </c>
      <c r="Q237" s="19">
        <v>2644</v>
      </c>
      <c r="R237" s="19">
        <v>2644</v>
      </c>
    </row>
    <row r="238" spans="1:18" x14ac:dyDescent="0.2">
      <c r="A238" s="19" t="s">
        <v>32</v>
      </c>
      <c r="B238" s="56" t="s">
        <v>118</v>
      </c>
      <c r="D238" s="19">
        <v>355584</v>
      </c>
      <c r="E238" s="19">
        <v>390868</v>
      </c>
      <c r="F238" s="19">
        <v>393845</v>
      </c>
      <c r="G238" s="19">
        <v>415190</v>
      </c>
      <c r="H238" s="19">
        <v>433748</v>
      </c>
      <c r="I238" s="19">
        <v>451676.54037339415</v>
      </c>
      <c r="J238" s="19">
        <v>474283.12663972547</v>
      </c>
      <c r="K238" s="19">
        <v>512657.64650959201</v>
      </c>
      <c r="L238" s="19">
        <v>566414.34691911936</v>
      </c>
      <c r="M238" s="19">
        <v>636691.05580335762</v>
      </c>
      <c r="N238" s="19">
        <v>724901.79174206348</v>
      </c>
      <c r="O238" s="19">
        <v>826829.84934128937</v>
      </c>
      <c r="P238" s="19">
        <v>943549.15599947795</v>
      </c>
      <c r="Q238" s="19">
        <v>1075576.4622399518</v>
      </c>
      <c r="R238" s="19">
        <v>1223973.9203557759</v>
      </c>
    </row>
    <row r="239" spans="1:18" x14ac:dyDescent="0.2">
      <c r="A239" s="19" t="s">
        <v>33</v>
      </c>
      <c r="B239" s="56" t="s">
        <v>118</v>
      </c>
      <c r="D239" s="19">
        <v>358228</v>
      </c>
      <c r="E239" s="19">
        <v>393512</v>
      </c>
      <c r="F239" s="19">
        <v>396489</v>
      </c>
      <c r="G239" s="19">
        <v>417834</v>
      </c>
      <c r="H239" s="19">
        <v>436392</v>
      </c>
      <c r="I239" s="19">
        <v>454320.54037339415</v>
      </c>
      <c r="J239" s="19">
        <v>476927.12663972547</v>
      </c>
      <c r="K239" s="19">
        <v>515301.64650959201</v>
      </c>
      <c r="L239" s="19">
        <v>569058.34691911936</v>
      </c>
      <c r="M239" s="19">
        <v>639335.05580335762</v>
      </c>
      <c r="N239" s="19">
        <v>727545.79174206348</v>
      </c>
      <c r="O239" s="19">
        <v>829473.84934128937</v>
      </c>
      <c r="P239" s="19">
        <v>946193.15599947795</v>
      </c>
      <c r="Q239" s="19">
        <v>1078220.4622399518</v>
      </c>
      <c r="R239" s="19">
        <v>1226617.9203557759</v>
      </c>
    </row>
    <row r="240" spans="1:18" x14ac:dyDescent="0.2">
      <c r="A240" s="19" t="s">
        <v>9</v>
      </c>
      <c r="B240" s="56" t="s">
        <v>118</v>
      </c>
      <c r="D240" s="19">
        <v>375</v>
      </c>
      <c r="E240" s="19">
        <v>414</v>
      </c>
      <c r="F240" s="19">
        <v>461</v>
      </c>
      <c r="G240" s="19">
        <v>522</v>
      </c>
      <c r="H240" s="19">
        <v>572</v>
      </c>
      <c r="I240" s="19">
        <v>572</v>
      </c>
      <c r="J240" s="19">
        <v>572</v>
      </c>
      <c r="K240" s="19">
        <v>572</v>
      </c>
      <c r="L240" s="19">
        <v>572</v>
      </c>
      <c r="M240" s="19">
        <v>572</v>
      </c>
      <c r="N240" s="19">
        <v>572</v>
      </c>
      <c r="O240" s="19">
        <v>572</v>
      </c>
      <c r="P240" s="19">
        <v>572</v>
      </c>
      <c r="Q240" s="19">
        <v>572</v>
      </c>
      <c r="R240" s="19">
        <v>572</v>
      </c>
    </row>
    <row r="241" spans="1:25" x14ac:dyDescent="0.2">
      <c r="A241" s="19" t="s">
        <v>10</v>
      </c>
      <c r="B241" s="56" t="s">
        <v>118</v>
      </c>
      <c r="D241" s="19">
        <v>358603</v>
      </c>
      <c r="E241" s="19">
        <v>393926</v>
      </c>
      <c r="F241" s="19">
        <v>396950</v>
      </c>
      <c r="G241" s="19">
        <v>418356</v>
      </c>
      <c r="H241" s="19">
        <v>436964</v>
      </c>
      <c r="I241" s="19">
        <v>454892.54037339415</v>
      </c>
      <c r="J241" s="19">
        <v>477499.12663972547</v>
      </c>
      <c r="K241" s="19">
        <v>515873.64650959201</v>
      </c>
      <c r="L241" s="19">
        <v>569630.34691911936</v>
      </c>
      <c r="M241" s="19">
        <v>639907.05580335762</v>
      </c>
      <c r="N241" s="19">
        <v>728117.79174206348</v>
      </c>
      <c r="O241" s="19">
        <v>830045.84934128937</v>
      </c>
      <c r="P241" s="19">
        <v>946765.15599947795</v>
      </c>
      <c r="Q241" s="19">
        <v>1078792.4622399518</v>
      </c>
      <c r="R241" s="19">
        <v>1227189.9203557759</v>
      </c>
    </row>
    <row r="242" spans="1:25" x14ac:dyDescent="0.2">
      <c r="A242" s="19" t="s">
        <v>37</v>
      </c>
      <c r="B242" s="56" t="s">
        <v>118</v>
      </c>
      <c r="D242" s="19">
        <v>11524</v>
      </c>
      <c r="E242" s="19">
        <v>0</v>
      </c>
      <c r="F242" s="19">
        <v>0</v>
      </c>
      <c r="G242" s="19">
        <v>0</v>
      </c>
      <c r="H242" s="19">
        <v>0</v>
      </c>
      <c r="I242" s="19">
        <v>0</v>
      </c>
      <c r="J242" s="19">
        <v>0</v>
      </c>
      <c r="K242" s="19">
        <v>0</v>
      </c>
      <c r="L242" s="19">
        <v>0</v>
      </c>
      <c r="M242" s="19">
        <v>0</v>
      </c>
      <c r="N242" s="19">
        <v>0</v>
      </c>
      <c r="O242" s="19">
        <v>0</v>
      </c>
      <c r="P242" s="19">
        <v>0</v>
      </c>
      <c r="Q242" s="19">
        <v>0</v>
      </c>
      <c r="R242" s="19">
        <v>0</v>
      </c>
    </row>
    <row r="243" spans="1:25" x14ac:dyDescent="0.2">
      <c r="A243" s="19" t="s">
        <v>38</v>
      </c>
      <c r="B243" s="56" t="s">
        <v>118</v>
      </c>
      <c r="D243" s="19" t="s">
        <v>34</v>
      </c>
      <c r="E243" s="19">
        <v>606</v>
      </c>
      <c r="F243" s="19">
        <v>1074</v>
      </c>
      <c r="G243" s="19">
        <v>1690</v>
      </c>
      <c r="H243" s="19">
        <v>3569</v>
      </c>
      <c r="I243" s="19">
        <v>0</v>
      </c>
      <c r="J243" s="19">
        <v>0</v>
      </c>
      <c r="K243" s="19">
        <v>0</v>
      </c>
      <c r="L243" s="19">
        <v>0</v>
      </c>
      <c r="M243" s="19">
        <v>0</v>
      </c>
      <c r="N243" s="19">
        <v>0</v>
      </c>
      <c r="O243" s="19">
        <v>0</v>
      </c>
      <c r="P243" s="19">
        <v>0</v>
      </c>
      <c r="Q243" s="19">
        <v>0</v>
      </c>
      <c r="R243" s="19">
        <v>0</v>
      </c>
    </row>
    <row r="244" spans="1:25" x14ac:dyDescent="0.2">
      <c r="A244" s="19" t="s">
        <v>39</v>
      </c>
      <c r="B244" s="56" t="s">
        <v>118</v>
      </c>
      <c r="D244" s="19">
        <v>1109</v>
      </c>
      <c r="E244" s="19">
        <v>2497</v>
      </c>
      <c r="F244" s="19">
        <v>1845</v>
      </c>
      <c r="G244" s="19">
        <v>1461</v>
      </c>
      <c r="H244" s="19">
        <v>2040</v>
      </c>
      <c r="I244" s="19">
        <v>2040</v>
      </c>
      <c r="J244" s="19">
        <v>2040</v>
      </c>
      <c r="K244" s="19">
        <v>2040</v>
      </c>
      <c r="L244" s="19">
        <v>2040</v>
      </c>
      <c r="M244" s="19">
        <v>2040</v>
      </c>
      <c r="N244" s="19">
        <v>2040</v>
      </c>
      <c r="O244" s="19">
        <v>2040</v>
      </c>
      <c r="P244" s="19">
        <v>2040</v>
      </c>
      <c r="Q244" s="19">
        <v>2040</v>
      </c>
      <c r="R244" s="19">
        <v>2040</v>
      </c>
    </row>
    <row r="245" spans="1:25" x14ac:dyDescent="0.2">
      <c r="A245" s="19" t="s">
        <v>40</v>
      </c>
      <c r="B245" s="56" t="s">
        <v>118</v>
      </c>
      <c r="D245" s="19">
        <v>160</v>
      </c>
      <c r="E245" s="19">
        <v>441</v>
      </c>
      <c r="F245" s="19">
        <v>424</v>
      </c>
      <c r="G245" s="19">
        <v>917</v>
      </c>
      <c r="H245" s="19">
        <v>1405</v>
      </c>
      <c r="I245" s="19">
        <v>1405</v>
      </c>
      <c r="J245" s="19">
        <v>1405</v>
      </c>
      <c r="K245" s="19">
        <v>1405</v>
      </c>
      <c r="L245" s="19">
        <v>1405</v>
      </c>
      <c r="M245" s="19">
        <v>1405</v>
      </c>
      <c r="N245" s="19">
        <v>1405</v>
      </c>
      <c r="O245" s="19">
        <v>1405</v>
      </c>
      <c r="P245" s="19">
        <v>1405</v>
      </c>
      <c r="Q245" s="19">
        <v>1405</v>
      </c>
      <c r="R245" s="19">
        <v>1405</v>
      </c>
    </row>
    <row r="246" spans="1:25" x14ac:dyDescent="0.2">
      <c r="A246" s="19" t="s">
        <v>11</v>
      </c>
      <c r="B246" s="56" t="s">
        <v>118</v>
      </c>
      <c r="D246" s="19">
        <v>12793</v>
      </c>
      <c r="E246" s="19">
        <v>3544</v>
      </c>
      <c r="F246" s="19">
        <v>3343</v>
      </c>
      <c r="G246" s="19">
        <v>4068</v>
      </c>
      <c r="H246" s="19">
        <v>7014</v>
      </c>
      <c r="I246" s="19">
        <v>3445</v>
      </c>
      <c r="J246" s="19">
        <v>3445</v>
      </c>
      <c r="K246" s="19">
        <v>3445</v>
      </c>
      <c r="L246" s="19">
        <v>3445</v>
      </c>
      <c r="M246" s="19">
        <v>3445</v>
      </c>
      <c r="N246" s="19">
        <v>3445</v>
      </c>
      <c r="O246" s="19">
        <v>3445</v>
      </c>
      <c r="P246" s="19">
        <v>3445</v>
      </c>
      <c r="Q246" s="19">
        <v>3445</v>
      </c>
      <c r="R246" s="19">
        <v>3445</v>
      </c>
    </row>
    <row r="247" spans="1:25" x14ac:dyDescent="0.2">
      <c r="A247" s="19" t="s">
        <v>295</v>
      </c>
      <c r="B247" s="56" t="s">
        <v>118</v>
      </c>
      <c r="D247" s="19">
        <v>17</v>
      </c>
      <c r="E247" s="19">
        <v>0</v>
      </c>
      <c r="F247" s="19">
        <v>0</v>
      </c>
      <c r="G247" s="19">
        <v>7741</v>
      </c>
      <c r="H247" s="19">
        <v>57485</v>
      </c>
      <c r="I247" s="19">
        <v>57485</v>
      </c>
      <c r="J247" s="19">
        <v>57485</v>
      </c>
      <c r="K247" s="19">
        <v>57485</v>
      </c>
      <c r="L247" s="19">
        <v>57485</v>
      </c>
      <c r="M247" s="19">
        <v>57485</v>
      </c>
      <c r="N247" s="19">
        <v>57485</v>
      </c>
      <c r="O247" s="19">
        <v>57485</v>
      </c>
      <c r="P247" s="19">
        <v>57485</v>
      </c>
      <c r="Q247" s="19">
        <v>57485</v>
      </c>
      <c r="R247" s="19">
        <v>57485</v>
      </c>
    </row>
    <row r="248" spans="1:25" x14ac:dyDescent="0.2">
      <c r="A248" s="19" t="s">
        <v>296</v>
      </c>
      <c r="B248" s="56" t="s">
        <v>118</v>
      </c>
      <c r="D248" s="19" t="s">
        <v>34</v>
      </c>
      <c r="E248" s="19">
        <v>368</v>
      </c>
      <c r="F248" s="19">
        <v>488</v>
      </c>
      <c r="G248" s="19">
        <v>772</v>
      </c>
      <c r="H248" s="19">
        <v>944</v>
      </c>
      <c r="I248" s="19">
        <v>5415.5999999999995</v>
      </c>
      <c r="J248" s="19">
        <v>6498.7199999999993</v>
      </c>
      <c r="K248" s="19">
        <v>7603.6639999999998</v>
      </c>
      <c r="L248" s="19">
        <v>8811.996799999999</v>
      </c>
      <c r="M248" s="19">
        <v>10081.996159999999</v>
      </c>
      <c r="N248" s="19">
        <v>11195.795391999998</v>
      </c>
      <c r="O248" s="19">
        <v>12351.834470399999</v>
      </c>
      <c r="P248" s="19">
        <v>13522.45736448</v>
      </c>
      <c r="Q248" s="19">
        <v>14706.216037376</v>
      </c>
      <c r="R248" s="19">
        <v>15885.0598848512</v>
      </c>
      <c r="T248" s="342" t="s">
        <v>561</v>
      </c>
      <c r="U248" s="342" t="s">
        <v>562</v>
      </c>
      <c r="V248" s="342" t="s">
        <v>563</v>
      </c>
      <c r="W248" s="342" t="s">
        <v>564</v>
      </c>
      <c r="X248" s="342" t="s">
        <v>565</v>
      </c>
      <c r="Y248" s="342" t="s">
        <v>566</v>
      </c>
    </row>
    <row r="249" spans="1:25" ht="19" customHeight="1" x14ac:dyDescent="0.2">
      <c r="A249" s="19" t="s">
        <v>297</v>
      </c>
      <c r="B249" s="56" t="s">
        <v>118</v>
      </c>
      <c r="D249" s="19">
        <v>61808</v>
      </c>
      <c r="E249" s="19">
        <v>63800</v>
      </c>
      <c r="F249" s="19">
        <v>71698</v>
      </c>
      <c r="G249" s="19">
        <v>94845</v>
      </c>
      <c r="H249" s="19">
        <v>114955</v>
      </c>
      <c r="I249" s="19">
        <v>110042.49296274887</v>
      </c>
      <c r="J249" s="19">
        <v>115451.36928652013</v>
      </c>
      <c r="K249" s="19">
        <v>116650.24289796071</v>
      </c>
      <c r="L249" s="19">
        <v>119727.90394388938</v>
      </c>
      <c r="M249" s="19">
        <v>121981.33896766033</v>
      </c>
      <c r="N249" s="19">
        <v>124283.20788271117</v>
      </c>
      <c r="O249" s="19">
        <v>130760.53627168032</v>
      </c>
      <c r="P249" s="19">
        <v>138330.31745365457</v>
      </c>
      <c r="Q249" s="19">
        <v>145246.83332633731</v>
      </c>
      <c r="R249" s="19">
        <v>152509.17499265418</v>
      </c>
      <c r="T249" s="124" t="s">
        <v>482</v>
      </c>
      <c r="U249" s="124">
        <v>4.1599999999999998E-2</v>
      </c>
      <c r="V249" s="124">
        <v>5.5399999999999998E-2</v>
      </c>
      <c r="W249" s="124">
        <v>3.7999999999999999E-2</v>
      </c>
      <c r="X249" s="124">
        <v>4.19E-2</v>
      </c>
      <c r="Y249" s="124">
        <v>4.3799999999999999E-2</v>
      </c>
    </row>
    <row r="250" spans="1:25" x14ac:dyDescent="0.2">
      <c r="A250" s="19" t="s">
        <v>39</v>
      </c>
      <c r="D250" s="19">
        <v>68177</v>
      </c>
      <c r="E250" s="19">
        <v>55810</v>
      </c>
      <c r="F250" s="19">
        <v>77835</v>
      </c>
      <c r="G250" s="19">
        <v>86664</v>
      </c>
      <c r="H250" s="19">
        <v>100578</v>
      </c>
      <c r="I250" s="19">
        <v>105912.40277999999</v>
      </c>
      <c r="J250" s="19">
        <v>113326.2709746</v>
      </c>
      <c r="K250" s="19">
        <v>120692.47858794901</v>
      </c>
      <c r="L250" s="19">
        <v>128537.48969616569</v>
      </c>
      <c r="M250" s="19">
        <v>136249.73907793566</v>
      </c>
      <c r="N250" s="19">
        <v>144424.7234226118</v>
      </c>
      <c r="O250" s="19">
        <v>152368.08321085543</v>
      </c>
      <c r="P250" s="19">
        <v>160748.32778745249</v>
      </c>
      <c r="Q250" s="19">
        <v>168785.7441768251</v>
      </c>
      <c r="R250" s="19">
        <v>177225.03138566637</v>
      </c>
      <c r="T250" s="10" t="s">
        <v>483</v>
      </c>
      <c r="U250" s="124">
        <v>1.89E-2</v>
      </c>
      <c r="V250" s="124">
        <v>3.8800000000000001E-2</v>
      </c>
      <c r="W250" s="124">
        <v>2.53E-2</v>
      </c>
      <c r="X250" s="124">
        <v>3.04E-2</v>
      </c>
      <c r="Y250" s="124">
        <v>3.1800000000000002E-2</v>
      </c>
    </row>
    <row r="251" spans="1:25" x14ac:dyDescent="0.2">
      <c r="A251" s="19" t="s">
        <v>45</v>
      </c>
      <c r="B251" s="56" t="s">
        <v>118</v>
      </c>
      <c r="D251" s="19">
        <v>74710</v>
      </c>
      <c r="E251" s="19">
        <v>67261</v>
      </c>
      <c r="F251" s="19">
        <v>67518</v>
      </c>
      <c r="G251" s="19">
        <v>83327</v>
      </c>
      <c r="H251" s="19">
        <v>94769</v>
      </c>
      <c r="I251" s="19">
        <v>77517</v>
      </c>
      <c r="J251" s="19">
        <v>78078.399999999994</v>
      </c>
      <c r="K251" s="19">
        <v>80241.88</v>
      </c>
      <c r="L251" s="19">
        <v>82786.656000000003</v>
      </c>
      <c r="M251" s="19">
        <v>82678.587200000009</v>
      </c>
      <c r="N251" s="19">
        <v>80260.504639999999</v>
      </c>
      <c r="O251" s="19">
        <v>80809.205568000005</v>
      </c>
      <c r="P251" s="19">
        <v>81355.366681600019</v>
      </c>
      <c r="Q251" s="19">
        <v>81578.064017920013</v>
      </c>
      <c r="R251" s="19">
        <v>81336.345621504006</v>
      </c>
      <c r="T251" s="10" t="s">
        <v>484</v>
      </c>
      <c r="U251" s="124">
        <v>1.12E-2</v>
      </c>
      <c r="V251" s="124">
        <v>2.7900000000000001E-2</v>
      </c>
      <c r="W251" s="124">
        <v>1.83E-2</v>
      </c>
      <c r="X251" s="124">
        <v>2.24E-2</v>
      </c>
      <c r="Y251" s="124">
        <v>2.2800000000000001E-2</v>
      </c>
    </row>
    <row r="252" spans="1:25" x14ac:dyDescent="0.2">
      <c r="A252" s="19" t="s">
        <v>298</v>
      </c>
      <c r="B252" s="56" t="s">
        <v>118</v>
      </c>
      <c r="D252" s="19">
        <v>9108</v>
      </c>
      <c r="E252" s="19">
        <v>10222</v>
      </c>
      <c r="F252" s="19">
        <v>10207</v>
      </c>
      <c r="G252" s="19">
        <v>9564</v>
      </c>
      <c r="H252" s="19">
        <v>9570</v>
      </c>
      <c r="I252" s="19">
        <v>0</v>
      </c>
      <c r="J252" s="19">
        <v>0</v>
      </c>
      <c r="K252" s="19">
        <v>0</v>
      </c>
      <c r="L252" s="19">
        <v>0</v>
      </c>
      <c r="M252" s="19">
        <v>0</v>
      </c>
      <c r="N252" s="19">
        <v>0</v>
      </c>
      <c r="O252" s="19">
        <v>0</v>
      </c>
      <c r="P252" s="19">
        <v>0</v>
      </c>
      <c r="Q252" s="19">
        <v>0</v>
      </c>
      <c r="R252" s="19">
        <v>0</v>
      </c>
    </row>
    <row r="253" spans="1:25" x14ac:dyDescent="0.2">
      <c r="A253" s="19" t="s">
        <v>12</v>
      </c>
      <c r="B253" s="56" t="s">
        <v>118</v>
      </c>
      <c r="D253" s="19">
        <v>213820</v>
      </c>
      <c r="E253" s="19">
        <v>197461</v>
      </c>
      <c r="F253" s="19">
        <v>227746</v>
      </c>
      <c r="G253" s="19">
        <v>282913</v>
      </c>
      <c r="H253" s="19">
        <v>378301</v>
      </c>
      <c r="I253" s="19">
        <v>356372.49574274884</v>
      </c>
      <c r="J253" s="19">
        <v>370839.76026112016</v>
      </c>
      <c r="K253" s="19">
        <v>382673.26548590971</v>
      </c>
      <c r="L253" s="19">
        <v>397349.04644005507</v>
      </c>
      <c r="M253" s="19">
        <v>408476.66140559601</v>
      </c>
      <c r="N253" s="19">
        <v>417649.23133732297</v>
      </c>
      <c r="O253" s="19">
        <v>433774.65952093573</v>
      </c>
      <c r="P253" s="19">
        <v>451441.46928718709</v>
      </c>
      <c r="Q253" s="19">
        <v>467801.8575584584</v>
      </c>
      <c r="R253" s="19">
        <v>484440.6118846758</v>
      </c>
    </row>
    <row r="254" spans="1:25" x14ac:dyDescent="0.2">
      <c r="A254" s="19" t="s">
        <v>46</v>
      </c>
      <c r="B254" s="56" t="s">
        <v>118</v>
      </c>
      <c r="D254" s="19">
        <v>226613</v>
      </c>
      <c r="E254" s="19">
        <v>201005</v>
      </c>
      <c r="F254" s="19">
        <v>231089</v>
      </c>
      <c r="G254" s="19">
        <v>286981</v>
      </c>
      <c r="H254" s="19">
        <v>385315</v>
      </c>
      <c r="I254" s="19">
        <v>359817.49574274884</v>
      </c>
      <c r="J254" s="19">
        <v>374284.76026112016</v>
      </c>
      <c r="K254" s="19">
        <v>386118.26548590971</v>
      </c>
      <c r="L254" s="19">
        <v>400794.04644005507</v>
      </c>
      <c r="M254" s="19">
        <v>411921.66140559601</v>
      </c>
      <c r="N254" s="19">
        <v>421094.23133732297</v>
      </c>
      <c r="O254" s="19">
        <v>437219.65952093573</v>
      </c>
      <c r="P254" s="19">
        <v>454886.46928718709</v>
      </c>
      <c r="Q254" s="19">
        <v>471246.8575584584</v>
      </c>
      <c r="R254" s="19">
        <v>487885.6118846758</v>
      </c>
    </row>
    <row r="255" spans="1:25" x14ac:dyDescent="0.2">
      <c r="A255" s="19" t="s">
        <v>47</v>
      </c>
      <c r="B255" s="56" t="s">
        <v>118</v>
      </c>
      <c r="D255" s="19">
        <v>585216</v>
      </c>
      <c r="E255" s="19">
        <v>594931</v>
      </c>
      <c r="F255" s="19">
        <v>628039</v>
      </c>
      <c r="G255" s="19">
        <v>705337</v>
      </c>
      <c r="H255" s="19">
        <v>822279</v>
      </c>
      <c r="I255" s="19">
        <v>814710.03611614299</v>
      </c>
      <c r="J255" s="19">
        <v>851783.88690084568</v>
      </c>
      <c r="K255" s="19">
        <v>901991.91199550172</v>
      </c>
      <c r="L255" s="19">
        <v>970424.39335917449</v>
      </c>
      <c r="M255" s="19">
        <v>1051828.7172089536</v>
      </c>
      <c r="N255" s="19">
        <v>1149212.0230793864</v>
      </c>
      <c r="O255" s="19">
        <v>1267265.5088622251</v>
      </c>
      <c r="P255" s="19">
        <v>1401651.625286665</v>
      </c>
      <c r="Q255" s="19">
        <v>1550039.3197984102</v>
      </c>
      <c r="R255" s="19">
        <v>1715075.5322404518</v>
      </c>
    </row>
    <row r="256" spans="1:25" x14ac:dyDescent="0.2">
      <c r="D256" s="19">
        <v>0</v>
      </c>
      <c r="E256" s="19">
        <v>0</v>
      </c>
      <c r="F256" s="19">
        <v>0</v>
      </c>
      <c r="G256" s="19">
        <v>0</v>
      </c>
      <c r="H256" s="19">
        <v>0</v>
      </c>
      <c r="I256" s="19">
        <v>3.3419642131775618E-3</v>
      </c>
      <c r="J256" s="19">
        <v>-2925.4646427111002</v>
      </c>
      <c r="K256" s="19">
        <v>-10721.177595284651</v>
      </c>
      <c r="L256" s="19">
        <v>-17628.570724683814</v>
      </c>
      <c r="M256" s="19">
        <v>-24976.280041572172</v>
      </c>
      <c r="N256" s="19">
        <v>-32873.258036461892</v>
      </c>
      <c r="O256" s="19">
        <v>-34586.167102510342</v>
      </c>
      <c r="P256" s="19">
        <v>-36588.385988017311</v>
      </c>
      <c r="Q256" s="19">
        <v>-38418.272740858141</v>
      </c>
      <c r="R256" s="19">
        <v>-40338.898922028951</v>
      </c>
    </row>
    <row r="257" spans="1:18" x14ac:dyDescent="0.2">
      <c r="J257" s="19">
        <v>-2925.4679846753133</v>
      </c>
      <c r="K257" s="19">
        <v>-7795.7129525735509</v>
      </c>
      <c r="L257" s="19">
        <v>-6907.3931293991627</v>
      </c>
      <c r="M257" s="19">
        <v>-7347.7093168883584</v>
      </c>
      <c r="N257" s="19">
        <v>-7896.9779948897194</v>
      </c>
      <c r="O257" s="19">
        <v>-1712.9090660484508</v>
      </c>
      <c r="P257" s="19">
        <v>-2002.2188855069689</v>
      </c>
      <c r="Q257" s="19">
        <v>-1829.88675284083</v>
      </c>
      <c r="R257" s="19">
        <v>-1920.62618117081</v>
      </c>
    </row>
    <row r="258" spans="1:18" x14ac:dyDescent="0.2">
      <c r="A258" s="19" t="s">
        <v>299</v>
      </c>
    </row>
    <row r="259" spans="1:18" x14ac:dyDescent="0.2">
      <c r="A259" s="19" t="s">
        <v>231</v>
      </c>
      <c r="B259" s="56" t="s">
        <v>118</v>
      </c>
    </row>
    <row r="261" spans="1:18" x14ac:dyDescent="0.2">
      <c r="A261" s="19" t="s">
        <v>75</v>
      </c>
      <c r="B261" s="56" t="s">
        <v>118</v>
      </c>
      <c r="D261" s="19">
        <v>16941</v>
      </c>
      <c r="E261" s="19">
        <v>49444</v>
      </c>
      <c r="F261" s="19">
        <v>41731</v>
      </c>
      <c r="G261" s="19">
        <v>55114</v>
      </c>
      <c r="H261" s="19">
        <v>60511</v>
      </c>
      <c r="I261" s="19">
        <v>53807.143977773609</v>
      </c>
      <c r="J261" s="19">
        <v>67846.897558017168</v>
      </c>
      <c r="K261" s="19">
        <v>115169.62746058404</v>
      </c>
      <c r="L261" s="19">
        <v>161334.63508261507</v>
      </c>
      <c r="M261" s="19">
        <v>210914.49244969478</v>
      </c>
      <c r="N261" s="19">
        <v>264738.10305734025</v>
      </c>
      <c r="O261" s="19">
        <v>305906.53541184263</v>
      </c>
      <c r="P261" s="19">
        <v>350298.0391902416</v>
      </c>
      <c r="Q261" s="19">
        <v>396240.4148873766</v>
      </c>
      <c r="R261" s="19">
        <v>445370.52255649539</v>
      </c>
    </row>
    <row r="262" spans="1:18" x14ac:dyDescent="0.2">
      <c r="A262" s="19" t="s">
        <v>67</v>
      </c>
      <c r="B262" s="56" t="s">
        <v>118</v>
      </c>
      <c r="D262" s="19">
        <v>23201</v>
      </c>
      <c r="E262" s="19">
        <v>21719</v>
      </c>
      <c r="F262" s="19">
        <v>21059</v>
      </c>
      <c r="G262" s="19">
        <v>21190</v>
      </c>
      <c r="H262" s="19">
        <v>23298</v>
      </c>
      <c r="I262" s="19">
        <v>31361.449178577066</v>
      </c>
      <c r="J262" s="19">
        <v>33556.750621077466</v>
      </c>
      <c r="K262" s="19">
        <v>35737.9394114475</v>
      </c>
      <c r="L262" s="19">
        <v>38060.905473191589</v>
      </c>
      <c r="M262" s="19">
        <v>40344.559801583091</v>
      </c>
      <c r="N262" s="19">
        <v>42765.233389678084</v>
      </c>
      <c r="O262" s="19">
        <v>45117.321226110369</v>
      </c>
      <c r="P262" s="19">
        <v>47598.773893546437</v>
      </c>
      <c r="Q262" s="19">
        <v>49978.71258822376</v>
      </c>
      <c r="R262" s="19">
        <v>52477.648217634953</v>
      </c>
    </row>
    <row r="263" spans="1:18" x14ac:dyDescent="0.2">
      <c r="A263" s="19" t="s">
        <v>326</v>
      </c>
      <c r="B263" s="56" t="s">
        <v>118</v>
      </c>
      <c r="D263" s="19">
        <v>30114</v>
      </c>
      <c r="E263" s="19">
        <v>67898</v>
      </c>
      <c r="F263" s="19">
        <v>-117321</v>
      </c>
      <c r="G263" s="19">
        <v>-117076</v>
      </c>
      <c r="H263" s="19">
        <v>-100450</v>
      </c>
      <c r="I263" s="19">
        <v>23345</v>
      </c>
      <c r="J263" s="19">
        <v>-38216</v>
      </c>
      <c r="K263" s="19">
        <v>-34306</v>
      </c>
      <c r="L263" s="19">
        <v>-40405</v>
      </c>
      <c r="M263" s="19">
        <v>-40284</v>
      </c>
      <c r="N263" s="19">
        <v>-45308</v>
      </c>
      <c r="O263" s="19">
        <v>-38544</v>
      </c>
      <c r="P263" s="19">
        <v>-45882</v>
      </c>
      <c r="Q263" s="19">
        <v>-41836</v>
      </c>
      <c r="R263" s="19">
        <v>-44507</v>
      </c>
    </row>
    <row r="264" spans="1:18" x14ac:dyDescent="0.2">
      <c r="A264" s="19" t="s">
        <v>300</v>
      </c>
      <c r="B264" s="56" t="s">
        <v>118</v>
      </c>
      <c r="D264" s="19">
        <v>0</v>
      </c>
      <c r="E264" s="19">
        <v>-36092</v>
      </c>
      <c r="F264" s="19">
        <v>56548</v>
      </c>
      <c r="G264" s="19">
        <v>61598</v>
      </c>
      <c r="H264" s="19">
        <v>59338</v>
      </c>
      <c r="I264" s="19">
        <v>-17222.761591017828</v>
      </c>
      <c r="J264" s="19">
        <v>20623.94257932232</v>
      </c>
      <c r="K264" s="19">
        <v>17064.752388841065</v>
      </c>
      <c r="L264" s="19">
        <v>20899.898776661663</v>
      </c>
      <c r="M264" s="19">
        <v>19302.807912524731</v>
      </c>
      <c r="N264" s="19">
        <v>20405.638431782252</v>
      </c>
      <c r="O264" s="19">
        <v>21567.533298774681</v>
      </c>
      <c r="P264" s="19">
        <v>25205.068803474598</v>
      </c>
      <c r="Q264" s="19">
        <v>23029.894030018244</v>
      </c>
      <c r="R264" s="19">
        <v>24181.388731519051</v>
      </c>
    </row>
    <row r="265" spans="1:18" x14ac:dyDescent="0.2">
      <c r="A265" s="19" t="s">
        <v>98</v>
      </c>
      <c r="B265" s="56" t="s">
        <v>118</v>
      </c>
      <c r="D265" s="19">
        <v>70256</v>
      </c>
      <c r="E265" s="19">
        <v>102969</v>
      </c>
      <c r="F265" s="19">
        <v>2017</v>
      </c>
      <c r="G265" s="19">
        <v>20826</v>
      </c>
      <c r="H265" s="19">
        <v>42697</v>
      </c>
      <c r="I265" s="19">
        <v>91290.831565332846</v>
      </c>
      <c r="J265" s="19">
        <v>83811.590758416947</v>
      </c>
      <c r="K265" s="19">
        <v>133666.31926087261</v>
      </c>
      <c r="L265" s="19">
        <v>179890.43933246832</v>
      </c>
      <c r="M265" s="19">
        <v>230277.8601638026</v>
      </c>
      <c r="N265" s="19">
        <v>282600.97487880057</v>
      </c>
      <c r="O265" s="19">
        <v>334047.3899367277</v>
      </c>
      <c r="P265" s="19">
        <v>377219.88188726263</v>
      </c>
      <c r="Q265" s="19">
        <v>427413.02150561858</v>
      </c>
      <c r="R265" s="19">
        <v>477522.55950564938</v>
      </c>
    </row>
    <row r="266" spans="1:18" x14ac:dyDescent="0.2">
      <c r="A266" s="19" t="s">
        <v>301</v>
      </c>
      <c r="B266" s="56" t="s">
        <v>118</v>
      </c>
      <c r="D266" s="19">
        <v>-5558</v>
      </c>
      <c r="E266" s="19">
        <v>-12836</v>
      </c>
      <c r="F266" s="19">
        <v>-11263</v>
      </c>
      <c r="G266" s="19">
        <v>-14028</v>
      </c>
      <c r="H266" s="19">
        <v>-16270</v>
      </c>
      <c r="I266" s="19">
        <v>-16142.143193332082</v>
      </c>
      <c r="J266" s="19">
        <v>-20354.06926740515</v>
      </c>
      <c r="K266" s="19">
        <v>-34550.888238175212</v>
      </c>
      <c r="L266" s="19">
        <v>-48400.390524784518</v>
      </c>
      <c r="M266" s="19">
        <v>-63274.347734908428</v>
      </c>
      <c r="N266" s="19">
        <v>-79421.430917202073</v>
      </c>
      <c r="O266" s="19">
        <v>-91771.96062355279</v>
      </c>
      <c r="P266" s="19">
        <v>-105089.41175707248</v>
      </c>
      <c r="Q266" s="19">
        <v>-118872.12446621298</v>
      </c>
      <c r="R266" s="19">
        <v>-133611.15676694861</v>
      </c>
    </row>
    <row r="267" spans="1:18" x14ac:dyDescent="0.2">
      <c r="A267" s="19" t="s">
        <v>302</v>
      </c>
      <c r="B267" s="56" t="s">
        <v>118</v>
      </c>
      <c r="D267" s="19">
        <v>62028</v>
      </c>
      <c r="E267" s="19">
        <v>89962</v>
      </c>
      <c r="F267" s="19">
        <v>-11957</v>
      </c>
      <c r="G267" s="19">
        <v>6950</v>
      </c>
      <c r="H267" s="19">
        <v>23505</v>
      </c>
      <c r="I267" s="19">
        <v>75148.688372000761</v>
      </c>
      <c r="J267" s="19">
        <v>63457.521491011794</v>
      </c>
      <c r="K267" s="19">
        <v>99115.43102269739</v>
      </c>
      <c r="L267" s="19">
        <v>131490.04880768381</v>
      </c>
      <c r="M267" s="19">
        <v>167003.51242889417</v>
      </c>
      <c r="N267" s="19">
        <v>203179.54396159848</v>
      </c>
      <c r="O267" s="19">
        <v>242275.42931317491</v>
      </c>
      <c r="P267" s="19">
        <v>272130.47013019014</v>
      </c>
      <c r="Q267" s="19">
        <v>308540.89703940559</v>
      </c>
      <c r="R267" s="19">
        <v>343911.40273870074</v>
      </c>
    </row>
    <row r="268" spans="1:18" x14ac:dyDescent="0.2">
      <c r="B268" s="56" t="s">
        <v>118</v>
      </c>
    </row>
    <row r="269" spans="1:18" x14ac:dyDescent="0.2">
      <c r="B269" s="56" t="s">
        <v>118</v>
      </c>
    </row>
    <row r="270" spans="1:18" x14ac:dyDescent="0.2">
      <c r="A270" s="19" t="s">
        <v>253</v>
      </c>
      <c r="B270" s="56" t="s">
        <v>118</v>
      </c>
    </row>
    <row r="271" spans="1:18" x14ac:dyDescent="0.2">
      <c r="B271" s="56" t="s">
        <v>118</v>
      </c>
    </row>
    <row r="272" spans="1:18" x14ac:dyDescent="0.2">
      <c r="A272" s="19" t="s">
        <v>141</v>
      </c>
      <c r="B272" s="56" t="s">
        <v>118</v>
      </c>
      <c r="D272" s="19">
        <v>-20282</v>
      </c>
      <c r="E272" s="19">
        <v>-16174</v>
      </c>
      <c r="F272" s="19">
        <v>-11595</v>
      </c>
      <c r="G272" s="19">
        <v>-23200</v>
      </c>
      <c r="H272" s="19">
        <v>-28703</v>
      </c>
      <c r="I272" s="19">
        <v>-27666.509099693947</v>
      </c>
      <c r="J272" s="19">
        <v>-29603.16473667253</v>
      </c>
      <c r="K272" s="19">
        <v>-31527.370444556243</v>
      </c>
      <c r="L272" s="19">
        <v>-33576.649523452397</v>
      </c>
      <c r="M272" s="19">
        <v>-35591.248494859545</v>
      </c>
      <c r="N272" s="19">
        <v>-37726.723404551129</v>
      </c>
      <c r="O272" s="19">
        <v>-39801.693191801431</v>
      </c>
      <c r="P272" s="19">
        <v>-41990.78631735051</v>
      </c>
      <c r="Q272" s="19">
        <v>-44090.325633218032</v>
      </c>
      <c r="R272" s="19">
        <v>-46294.84191487894</v>
      </c>
    </row>
    <row r="273" spans="1:18" x14ac:dyDescent="0.2">
      <c r="A273" s="19" t="s">
        <v>311</v>
      </c>
      <c r="B273" s="56" t="s">
        <v>118</v>
      </c>
      <c r="D273" s="19">
        <v>4911</v>
      </c>
      <c r="E273" s="19">
        <v>1348</v>
      </c>
      <c r="F273" s="19">
        <v>3545</v>
      </c>
      <c r="G273" s="19">
        <v>4369</v>
      </c>
      <c r="H273" s="19">
        <v>1888</v>
      </c>
      <c r="I273" s="19">
        <v>0</v>
      </c>
      <c r="J273" s="19">
        <v>0</v>
      </c>
      <c r="K273" s="19">
        <v>0</v>
      </c>
      <c r="L273" s="19">
        <v>0</v>
      </c>
      <c r="M273" s="19">
        <v>0</v>
      </c>
      <c r="N273" s="19">
        <v>0</v>
      </c>
      <c r="O273" s="19">
        <v>0</v>
      </c>
      <c r="P273" s="19">
        <v>0</v>
      </c>
      <c r="Q273" s="19">
        <v>0</v>
      </c>
      <c r="R273" s="19">
        <v>0</v>
      </c>
    </row>
    <row r="274" spans="1:18" x14ac:dyDescent="0.2">
      <c r="A274" s="19" t="s">
        <v>303</v>
      </c>
      <c r="B274" s="56" t="s">
        <v>118</v>
      </c>
      <c r="D274" s="19">
        <v>-15155</v>
      </c>
      <c r="E274" s="19">
        <v>-16007</v>
      </c>
      <c r="F274" s="19">
        <v>-12083</v>
      </c>
      <c r="G274" s="19">
        <v>-14781</v>
      </c>
      <c r="H274" s="19">
        <v>-23942</v>
      </c>
      <c r="I274" s="19">
        <v>-27666.509099693947</v>
      </c>
      <c r="J274" s="19">
        <v>-29603.16473667253</v>
      </c>
      <c r="K274" s="19">
        <v>-31527.370444556243</v>
      </c>
      <c r="L274" s="19">
        <v>-33576.649523452397</v>
      </c>
      <c r="M274" s="19">
        <v>-35591.248494859545</v>
      </c>
      <c r="N274" s="19">
        <v>-37726.723404551129</v>
      </c>
      <c r="O274" s="19">
        <v>-39801.693191801431</v>
      </c>
      <c r="P274" s="19">
        <v>-41990.78631735051</v>
      </c>
      <c r="Q274" s="19">
        <v>-44090.325633218032</v>
      </c>
      <c r="R274" s="19">
        <v>-46294.84191487894</v>
      </c>
    </row>
    <row r="277" spans="1:18" x14ac:dyDescent="0.2">
      <c r="A277" s="19" t="s">
        <v>262</v>
      </c>
      <c r="B277" s="56" t="s">
        <v>118</v>
      </c>
    </row>
    <row r="279" spans="1:18" x14ac:dyDescent="0.2">
      <c r="A279" s="19" t="s">
        <v>323</v>
      </c>
      <c r="B279" s="56" t="s">
        <v>118</v>
      </c>
      <c r="D279" s="19">
        <v>1459</v>
      </c>
      <c r="E279" s="19">
        <v>-25017</v>
      </c>
      <c r="F279" s="19">
        <v>0</v>
      </c>
      <c r="G279" s="19">
        <v>7741</v>
      </c>
      <c r="H279" s="19">
        <v>49744</v>
      </c>
      <c r="I279" s="19">
        <v>0</v>
      </c>
      <c r="J279" s="19">
        <v>0</v>
      </c>
      <c r="K279" s="19">
        <v>0</v>
      </c>
      <c r="L279" s="19">
        <v>0</v>
      </c>
      <c r="M279" s="19">
        <v>0</v>
      </c>
      <c r="N279" s="19">
        <v>0</v>
      </c>
      <c r="O279" s="19">
        <v>0</v>
      </c>
      <c r="P279" s="19">
        <v>0</v>
      </c>
      <c r="Q279" s="19">
        <v>0</v>
      </c>
      <c r="R279" s="19">
        <v>0</v>
      </c>
    </row>
    <row r="280" spans="1:18" x14ac:dyDescent="0.2">
      <c r="A280" s="19" t="s">
        <v>324</v>
      </c>
      <c r="B280" s="56" t="s">
        <v>118</v>
      </c>
      <c r="D280" s="19">
        <v>-853</v>
      </c>
      <c r="E280" s="19">
        <v>-492</v>
      </c>
      <c r="F280" s="19">
        <v>-998</v>
      </c>
      <c r="G280" s="19">
        <v>-727</v>
      </c>
      <c r="H280" s="19">
        <v>-953</v>
      </c>
      <c r="I280" s="19">
        <v>-804.6</v>
      </c>
      <c r="J280" s="19">
        <v>-794.92</v>
      </c>
      <c r="K280" s="19">
        <v>-855.50399999999991</v>
      </c>
      <c r="L280" s="19">
        <v>-827.00479999999993</v>
      </c>
      <c r="M280" s="19">
        <v>-847.00576000000001</v>
      </c>
      <c r="N280" s="19">
        <v>-825.80691200000001</v>
      </c>
      <c r="O280" s="19">
        <v>-830.04829439999992</v>
      </c>
      <c r="P280" s="19">
        <v>-837.07395327999984</v>
      </c>
      <c r="Q280" s="19">
        <v>-833.38794393600006</v>
      </c>
      <c r="R280" s="19">
        <v>-834.66457272320008</v>
      </c>
    </row>
    <row r="281" spans="1:18" x14ac:dyDescent="0.2">
      <c r="A281" s="19" t="s">
        <v>325</v>
      </c>
      <c r="B281" s="56" t="s">
        <v>118</v>
      </c>
      <c r="D281" s="19">
        <v>-6610</v>
      </c>
      <c r="E281" s="19">
        <v>-1344</v>
      </c>
      <c r="F281" s="19">
        <v>-27785</v>
      </c>
      <c r="G281" s="19">
        <v>-19852</v>
      </c>
      <c r="H281" s="19">
        <v>-26463</v>
      </c>
      <c r="I281" s="19">
        <v>-19736.460411047359</v>
      </c>
      <c r="J281" s="19">
        <v>-24886.242024280698</v>
      </c>
      <c r="K281" s="19">
        <v>-42244.219352542226</v>
      </c>
      <c r="L281" s="19">
        <v>-59177.544148303219</v>
      </c>
      <c r="M281" s="19">
        <v>-77363.435830548056</v>
      </c>
      <c r="N281" s="19">
        <v>-97105.9362014324</v>
      </c>
      <c r="O281" s="19">
        <v>-112206.51718906389</v>
      </c>
      <c r="P281" s="19">
        <v>-128489.32077498062</v>
      </c>
      <c r="Q281" s="19">
        <v>-145340.98418068973</v>
      </c>
      <c r="R281" s="19">
        <v>-163361.90767372251</v>
      </c>
    </row>
    <row r="282" spans="1:18" x14ac:dyDescent="0.2">
      <c r="A282" s="19" t="s">
        <v>314</v>
      </c>
      <c r="B282" s="56" t="s">
        <v>118</v>
      </c>
      <c r="D282" s="19">
        <v>-2267</v>
      </c>
      <c r="E282" s="19">
        <v>-1478</v>
      </c>
      <c r="F282" s="19">
        <v>-464</v>
      </c>
      <c r="G282" s="19">
        <v>-689</v>
      </c>
      <c r="H282" s="19">
        <v>-1286</v>
      </c>
      <c r="I282" s="19">
        <v>0</v>
      </c>
      <c r="J282" s="19">
        <v>0</v>
      </c>
      <c r="K282" s="19">
        <v>0</v>
      </c>
      <c r="L282" s="19">
        <v>0</v>
      </c>
      <c r="M282" s="19">
        <v>0</v>
      </c>
      <c r="N282" s="19">
        <v>0</v>
      </c>
      <c r="O282" s="19">
        <v>0</v>
      </c>
      <c r="P282" s="19">
        <v>0</v>
      </c>
      <c r="Q282" s="19">
        <v>0</v>
      </c>
      <c r="R282" s="19">
        <v>0</v>
      </c>
    </row>
    <row r="283" spans="1:18" x14ac:dyDescent="0.2">
      <c r="A283" s="19" t="s">
        <v>304</v>
      </c>
      <c r="B283" s="56" t="s">
        <v>118</v>
      </c>
      <c r="D283" s="19">
        <v>-8817</v>
      </c>
      <c r="E283" s="19">
        <v>-28665</v>
      </c>
      <c r="F283" s="19">
        <v>-29234</v>
      </c>
      <c r="G283" s="19">
        <v>-12240</v>
      </c>
      <c r="H283" s="19">
        <v>21714</v>
      </c>
      <c r="I283" s="19">
        <v>-20541.060411047358</v>
      </c>
      <c r="J283" s="19">
        <v>-25681.162024280697</v>
      </c>
      <c r="K283" s="19">
        <v>-43099.723352542227</v>
      </c>
      <c r="L283" s="19">
        <v>-60004.548948303222</v>
      </c>
      <c r="M283" s="19">
        <v>-78210.441590548056</v>
      </c>
      <c r="N283" s="19">
        <v>-97931.7431134324</v>
      </c>
      <c r="O283" s="19">
        <v>-113036.56548346388</v>
      </c>
      <c r="P283" s="19">
        <v>-129326.39472826061</v>
      </c>
      <c r="Q283" s="19">
        <v>-146174.37212462572</v>
      </c>
      <c r="R283" s="19">
        <v>-164196.57224644572</v>
      </c>
    </row>
    <row r="286" spans="1:18" x14ac:dyDescent="0.2">
      <c r="A286" s="19" t="s">
        <v>305</v>
      </c>
      <c r="B286" s="56" t="s">
        <v>118</v>
      </c>
      <c r="D286" s="19">
        <v>38041</v>
      </c>
      <c r="E286" s="19">
        <v>45290</v>
      </c>
      <c r="F286" s="19">
        <v>-53274</v>
      </c>
      <c r="G286" s="19">
        <v>-20071</v>
      </c>
      <c r="H286" s="19">
        <v>21277</v>
      </c>
      <c r="I286" s="19">
        <v>26941.118861259456</v>
      </c>
      <c r="J286" s="19">
        <v>8173.1947300585671</v>
      </c>
      <c r="K286" s="19">
        <v>24488.337225598923</v>
      </c>
      <c r="L286" s="19">
        <v>37908.850335928189</v>
      </c>
      <c r="M286" s="19">
        <v>53201.822343486565</v>
      </c>
      <c r="N286" s="19">
        <v>67521.077443614951</v>
      </c>
      <c r="O286" s="19">
        <v>89437.170637909614</v>
      </c>
      <c r="P286" s="19">
        <v>100813.28908457901</v>
      </c>
      <c r="Q286" s="19">
        <v>118276.19928156183</v>
      </c>
      <c r="R286" s="19">
        <v>133419.98857737606</v>
      </c>
    </row>
    <row r="287" spans="1:18" x14ac:dyDescent="0.2">
      <c r="A287" s="19" t="s">
        <v>306</v>
      </c>
      <c r="B287" s="56" t="s">
        <v>118</v>
      </c>
      <c r="D287" s="19">
        <v>2899</v>
      </c>
      <c r="E287" s="19">
        <v>40970</v>
      </c>
      <c r="F287" s="19">
        <v>86260</v>
      </c>
      <c r="G287" s="19">
        <v>32986</v>
      </c>
      <c r="H287" s="19">
        <v>12915</v>
      </c>
      <c r="I287" s="19">
        <v>34192</v>
      </c>
      <c r="J287" s="19">
        <v>61133.118861259456</v>
      </c>
      <c r="K287" s="19">
        <v>69306.31359131803</v>
      </c>
      <c r="L287" s="19">
        <v>93794.650816916954</v>
      </c>
      <c r="M287" s="19">
        <v>131703.50115284516</v>
      </c>
      <c r="N287" s="19">
        <v>184905.32349633172</v>
      </c>
      <c r="O287" s="19">
        <v>252426.40093994667</v>
      </c>
      <c r="P287" s="19">
        <v>341863.57157785632</v>
      </c>
      <c r="Q287" s="19">
        <v>442676.8606624353</v>
      </c>
      <c r="R287" s="19">
        <v>560953.05994399707</v>
      </c>
    </row>
    <row r="288" spans="1:18" x14ac:dyDescent="0.2">
      <c r="A288" s="19" t="s">
        <v>307</v>
      </c>
      <c r="B288" s="56" t="s">
        <v>118</v>
      </c>
      <c r="D288" s="19">
        <v>40940</v>
      </c>
      <c r="E288" s="19">
        <v>86260</v>
      </c>
      <c r="F288" s="19">
        <v>32986</v>
      </c>
      <c r="G288" s="19">
        <v>12915</v>
      </c>
      <c r="H288" s="19">
        <v>34192</v>
      </c>
      <c r="I288" s="19">
        <v>61133.118861259456</v>
      </c>
      <c r="J288" s="19">
        <v>69306.31359131803</v>
      </c>
      <c r="K288" s="19">
        <v>93794.650816916954</v>
      </c>
      <c r="L288" s="19">
        <v>131703.50115284516</v>
      </c>
      <c r="M288" s="19">
        <v>184905.32349633172</v>
      </c>
      <c r="N288" s="19">
        <v>252426.40093994667</v>
      </c>
      <c r="O288" s="19">
        <v>341863.57157785632</v>
      </c>
      <c r="P288" s="19">
        <v>442676.8606624353</v>
      </c>
      <c r="Q288" s="19">
        <v>560953.05994399707</v>
      </c>
      <c r="R288" s="19">
        <v>694373.04852137319</v>
      </c>
    </row>
    <row r="292" spans="1:17" x14ac:dyDescent="0.2">
      <c r="A292" s="19" t="s">
        <v>455</v>
      </c>
    </row>
    <row r="293" spans="1:17" x14ac:dyDescent="0.2">
      <c r="B293" s="56" t="s">
        <v>456</v>
      </c>
      <c r="G293" s="19" t="s">
        <v>457</v>
      </c>
      <c r="Q293" s="19" t="s">
        <v>458</v>
      </c>
    </row>
    <row r="294" spans="1:17" x14ac:dyDescent="0.2">
      <c r="A294" s="19" t="s">
        <v>459</v>
      </c>
      <c r="B294" s="56" t="s">
        <v>460</v>
      </c>
      <c r="C294" s="19" t="s">
        <v>461</v>
      </c>
      <c r="D294" s="19" t="s">
        <v>462</v>
      </c>
      <c r="E294" s="19" t="s">
        <v>463</v>
      </c>
      <c r="F294" s="19" t="s">
        <v>392</v>
      </c>
      <c r="G294" s="19" t="s">
        <v>464</v>
      </c>
      <c r="H294" s="19" t="s">
        <v>465</v>
      </c>
      <c r="I294" s="19" t="s">
        <v>466</v>
      </c>
      <c r="J294" s="19" t="s">
        <v>467</v>
      </c>
      <c r="K294" s="19" t="s">
        <v>468</v>
      </c>
      <c r="L294" s="19" t="s">
        <v>469</v>
      </c>
      <c r="M294" s="19" t="s">
        <v>470</v>
      </c>
      <c r="N294" s="19" t="s">
        <v>471</v>
      </c>
      <c r="O294" s="19" t="s">
        <v>472</v>
      </c>
      <c r="P294" s="19" t="s">
        <v>473</v>
      </c>
      <c r="Q294" s="19" t="s">
        <v>280</v>
      </c>
    </row>
    <row r="295" spans="1:17" x14ac:dyDescent="0.2">
      <c r="A295" s="19" t="s">
        <v>475</v>
      </c>
    </row>
    <row r="296" spans="1:17" x14ac:dyDescent="0.2">
      <c r="A296" s="19" t="s">
        <v>476</v>
      </c>
      <c r="B296" s="56">
        <v>0</v>
      </c>
      <c r="C296" s="235">
        <v>0.28845761141043957</v>
      </c>
      <c r="D296" s="235">
        <v>0.26875887692091993</v>
      </c>
      <c r="E296" s="235">
        <v>0.10380341467135179</v>
      </c>
      <c r="F296" s="235">
        <v>5.5986741771960391E-2</v>
      </c>
      <c r="G296" s="235">
        <v>7.0000000000000007E-2</v>
      </c>
      <c r="H296" s="235">
        <v>7.0000000000000007E-2</v>
      </c>
      <c r="I296" s="235">
        <v>6.5000000000000002E-2</v>
      </c>
      <c r="J296" s="235">
        <v>6.5000000000000002E-2</v>
      </c>
      <c r="K296" s="235">
        <v>0.06</v>
      </c>
      <c r="L296" s="235">
        <v>0.06</v>
      </c>
      <c r="M296" s="235">
        <v>5.5E-2</v>
      </c>
      <c r="N296" s="235">
        <v>5.5E-2</v>
      </c>
      <c r="O296" s="235">
        <v>0.05</v>
      </c>
      <c r="P296" s="235">
        <v>0.05</v>
      </c>
      <c r="Q296" s="19" t="s">
        <v>120</v>
      </c>
    </row>
    <row r="297" spans="1:17" x14ac:dyDescent="0.2">
      <c r="A297" s="19" t="s">
        <v>477</v>
      </c>
      <c r="B297" s="56">
        <v>0</v>
      </c>
      <c r="C297" s="235">
        <v>0.71286755169893179</v>
      </c>
      <c r="D297" s="235">
        <v>-0.12922454261367544</v>
      </c>
      <c r="E297" s="235">
        <v>0.21720365510481554</v>
      </c>
      <c r="F297" s="235">
        <v>0.10523034561583522</v>
      </c>
      <c r="G297" s="235">
        <v>2.3648885885440452E-2</v>
      </c>
      <c r="H297" s="235">
        <v>0.18793777879351969</v>
      </c>
      <c r="I297" s="235">
        <v>0.47970273465112045</v>
      </c>
      <c r="J297" s="235">
        <v>0.31761073490498926</v>
      </c>
      <c r="K297" s="235">
        <v>0.25776987426687015</v>
      </c>
      <c r="L297" s="235">
        <v>0.22223929200771186</v>
      </c>
      <c r="M297" s="235">
        <v>0.14079101007996009</v>
      </c>
      <c r="N297" s="235">
        <v>0.13291301807371392</v>
      </c>
      <c r="O297" s="235">
        <v>0.12091985263870564</v>
      </c>
      <c r="P297" s="235">
        <v>0.11525151877669737</v>
      </c>
      <c r="Q297" s="19" t="s">
        <v>120</v>
      </c>
    </row>
    <row r="298" spans="1:17" x14ac:dyDescent="0.2">
      <c r="A298" s="19" t="s">
        <v>478</v>
      </c>
      <c r="B298" s="56">
        <v>0</v>
      </c>
      <c r="C298" s="235">
        <v>1.651082882132445</v>
      </c>
      <c r="D298" s="235">
        <v>-0.17137975727583366</v>
      </c>
      <c r="E298" s="235">
        <v>0.32250266619267687</v>
      </c>
      <c r="F298" s="235">
        <v>0.1074135799150584</v>
      </c>
      <c r="G298" s="235">
        <v>-9.7918138973664082E-2</v>
      </c>
      <c r="H298" s="235">
        <v>0.25428698393498128</v>
      </c>
      <c r="I298" s="235">
        <v>0.678727234714257</v>
      </c>
      <c r="J298" s="235">
        <v>0.39452217024090142</v>
      </c>
      <c r="K298" s="235">
        <v>0.3037556414345608</v>
      </c>
      <c r="L298" s="235">
        <v>0.25291036755481389</v>
      </c>
      <c r="M298" s="235">
        <v>0.1545124790146355</v>
      </c>
      <c r="N298" s="235">
        <v>0.14430036839175675</v>
      </c>
      <c r="O298" s="235">
        <v>0.13047622140312587</v>
      </c>
      <c r="P298" s="235">
        <v>0.12341816171002407</v>
      </c>
      <c r="Q298" s="19" t="s">
        <v>120</v>
      </c>
    </row>
    <row r="299" spans="1:17" x14ac:dyDescent="0.2">
      <c r="A299" s="19" t="s">
        <v>479</v>
      </c>
      <c r="B299" s="238">
        <v>0</v>
      </c>
      <c r="C299" s="238">
        <v>2.2160238952824387</v>
      </c>
      <c r="D299" s="238">
        <v>-0.16772290209790208</v>
      </c>
      <c r="E299" s="238">
        <v>0.34849678351056856</v>
      </c>
      <c r="F299" s="238">
        <v>7.6790147495497285E-2</v>
      </c>
      <c r="G299" s="238">
        <v>-0.14864038370648214</v>
      </c>
      <c r="H299" s="238">
        <v>0.2609273145224551</v>
      </c>
      <c r="I299" s="238">
        <v>0.69749290838391409</v>
      </c>
      <c r="J299" s="238">
        <v>0.40084359600651398</v>
      </c>
      <c r="K299" s="238">
        <v>0.30731068590257271</v>
      </c>
      <c r="L299" s="238">
        <v>0.25519161809368285</v>
      </c>
      <c r="M299" s="238">
        <v>0.15550626025897607</v>
      </c>
      <c r="N299" s="238">
        <v>0.14511459756371203</v>
      </c>
      <c r="O299" s="238">
        <v>0.13115224910575196</v>
      </c>
      <c r="P299" s="238">
        <v>0.12399065270281184</v>
      </c>
      <c r="Q299" s="19" t="s">
        <v>120</v>
      </c>
    </row>
    <row r="300" spans="1:17" x14ac:dyDescent="0.2">
      <c r="A300" s="19" t="s">
        <v>480</v>
      </c>
      <c r="B300" s="238"/>
      <c r="C300" s="238"/>
      <c r="D300" s="238"/>
      <c r="E300" s="238"/>
      <c r="F300" s="238"/>
      <c r="G300" s="238"/>
      <c r="H300" s="238"/>
      <c r="I300" s="238"/>
      <c r="J300" s="238"/>
      <c r="K300" s="238"/>
      <c r="L300" s="238"/>
      <c r="M300" s="238"/>
      <c r="N300" s="238"/>
      <c r="O300" s="238"/>
      <c r="P300" s="238"/>
    </row>
    <row r="301" spans="1:17" x14ac:dyDescent="0.2">
      <c r="A301" s="19" t="s">
        <v>481</v>
      </c>
      <c r="B301" s="238">
        <v>1.725574711240024E-2</v>
      </c>
      <c r="C301" s="238">
        <v>3.7589394931163908E-2</v>
      </c>
      <c r="D301" s="238">
        <v>2.6971016471343406E-2</v>
      </c>
      <c r="E301" s="238">
        <v>2.986679325669651E-2</v>
      </c>
      <c r="F301" s="238">
        <v>3.2444750273085778E-2</v>
      </c>
      <c r="G301" s="238">
        <v>2.5826934607072066E-2</v>
      </c>
      <c r="H301" s="238">
        <v>3.0435408688263957E-2</v>
      </c>
      <c r="I301" s="238">
        <v>4.8510695222623697E-2</v>
      </c>
      <c r="J301" s="238">
        <v>6.3808353746888424E-2</v>
      </c>
      <c r="K301" s="238">
        <v>7.8695606323734624E-2</v>
      </c>
      <c r="L301" s="238">
        <v>9.318685418712444E-2</v>
      </c>
      <c r="M301" s="238">
        <v>0.10206444870811628</v>
      </c>
      <c r="N301" s="238">
        <v>0.11078245507863196</v>
      </c>
      <c r="O301" s="238">
        <v>0.11934459354633473</v>
      </c>
      <c r="P301" s="238">
        <v>0.12775448342542528</v>
      </c>
      <c r="Q301" s="19" t="s">
        <v>120</v>
      </c>
    </row>
    <row r="302" spans="1:17" x14ac:dyDescent="0.2">
      <c r="A302" s="19" t="s">
        <v>482</v>
      </c>
      <c r="B302" s="238">
        <v>4.1431182658086499E-2</v>
      </c>
      <c r="C302" s="238">
        <v>5.522472367111636E-2</v>
      </c>
      <c r="D302" s="238">
        <v>3.7875467350717222E-2</v>
      </c>
      <c r="E302" s="238">
        <v>4.1723228457612123E-2</v>
      </c>
      <c r="F302" s="238">
        <v>4.3763152860149222E-2</v>
      </c>
      <c r="G302" s="238">
        <v>4.181075239265291E-2</v>
      </c>
      <c r="H302" s="238">
        <v>4.6419226473844798E-2</v>
      </c>
      <c r="I302" s="238">
        <v>6.4494513008204538E-2</v>
      </c>
      <c r="J302" s="238">
        <v>7.9792171532469258E-2</v>
      </c>
      <c r="K302" s="238">
        <v>9.4679424109315458E-2</v>
      </c>
      <c r="L302" s="238">
        <v>0.10917067197270527</v>
      </c>
      <c r="M302" s="238">
        <v>0.11804826649369712</v>
      </c>
      <c r="N302" s="238">
        <v>0.1267662728642128</v>
      </c>
      <c r="O302" s="238">
        <v>0.13532841133191556</v>
      </c>
      <c r="P302" s="238">
        <v>0.14373830121100614</v>
      </c>
      <c r="Q302" s="19" t="s">
        <v>120</v>
      </c>
    </row>
    <row r="303" spans="1:17" x14ac:dyDescent="0.2">
      <c r="A303" s="19" t="s">
        <v>483</v>
      </c>
      <c r="B303" s="238">
        <v>1.8765124301363519E-2</v>
      </c>
      <c r="C303" s="238">
        <v>3.8713032292790397E-2</v>
      </c>
      <c r="D303" s="238">
        <v>2.5265680350072931E-2</v>
      </c>
      <c r="E303" s="238">
        <v>3.0240168815608291E-2</v>
      </c>
      <c r="F303" s="238">
        <v>3.1781321550016353E-2</v>
      </c>
      <c r="G303" s="238">
        <v>2.6757545007167028E-2</v>
      </c>
      <c r="H303" s="238">
        <v>3.1366019088358919E-2</v>
      </c>
      <c r="I303" s="238">
        <v>4.9441305622718659E-2</v>
      </c>
      <c r="J303" s="238">
        <v>6.473896414698338E-2</v>
      </c>
      <c r="K303" s="238">
        <v>7.9626216723829579E-2</v>
      </c>
      <c r="L303" s="238">
        <v>9.4117464587219396E-2</v>
      </c>
      <c r="M303" s="238">
        <v>0.10299505910821123</v>
      </c>
      <c r="N303" s="238">
        <v>0.11171306547872692</v>
      </c>
      <c r="O303" s="238">
        <v>0.12027520394642968</v>
      </c>
      <c r="P303" s="238">
        <v>0.12868509382552026</v>
      </c>
      <c r="Q303" s="19" t="s">
        <v>120</v>
      </c>
    </row>
    <row r="304" spans="1:17" x14ac:dyDescent="0.2">
      <c r="A304" s="19" t="s">
        <v>484</v>
      </c>
      <c r="B304" s="238">
        <v>1.1120544040109379E-2</v>
      </c>
      <c r="C304" s="238">
        <v>2.7830931349406365E-2</v>
      </c>
      <c r="D304" s="238">
        <v>1.824374330859159E-2</v>
      </c>
      <c r="E304" s="238">
        <v>2.2264888553627623E-2</v>
      </c>
      <c r="F304" s="238">
        <v>2.2752519486290167E-2</v>
      </c>
      <c r="G304" s="238">
        <v>1.8078854224950446E-2</v>
      </c>
      <c r="H304" s="238">
        <v>2.1304786081784769E-2</v>
      </c>
      <c r="I304" s="238">
        <v>3.3957486655836581E-2</v>
      </c>
      <c r="J304" s="238">
        <v>4.46658476228219E-2</v>
      </c>
      <c r="K304" s="238">
        <v>5.5086924426614239E-2</v>
      </c>
      <c r="L304" s="238">
        <v>6.52307979309871E-2</v>
      </c>
      <c r="M304" s="238">
        <v>7.1445114095681397E-2</v>
      </c>
      <c r="N304" s="238">
        <v>7.7547718555042375E-2</v>
      </c>
      <c r="O304" s="238">
        <v>8.3541215482434303E-2</v>
      </c>
      <c r="P304" s="238">
        <v>8.9428138397797688E-2</v>
      </c>
      <c r="Q304" s="19" t="s">
        <v>120</v>
      </c>
    </row>
    <row r="305" spans="1:17" x14ac:dyDescent="0.2">
      <c r="A305" s="19" t="s">
        <v>485</v>
      </c>
      <c r="B305" s="238"/>
      <c r="C305" s="238"/>
      <c r="D305" s="238"/>
      <c r="E305" s="238"/>
      <c r="F305" s="238"/>
      <c r="G305" s="238"/>
      <c r="H305" s="238"/>
      <c r="I305" s="238"/>
      <c r="J305" s="238"/>
      <c r="K305" s="238"/>
      <c r="L305" s="238"/>
      <c r="M305" s="238"/>
      <c r="N305" s="238"/>
      <c r="O305" s="238"/>
      <c r="P305" s="238"/>
    </row>
    <row r="306" spans="1:17" x14ac:dyDescent="0.2">
      <c r="A306" s="19" t="s">
        <v>486</v>
      </c>
      <c r="B306" s="239">
        <v>1.5236928257412776</v>
      </c>
      <c r="C306" s="239">
        <v>1.6843933738814247</v>
      </c>
      <c r="D306" s="239">
        <v>1.5873473079658917</v>
      </c>
      <c r="E306" s="239">
        <v>1.5280139124041667</v>
      </c>
      <c r="F306" s="239">
        <v>1.4124229119140579</v>
      </c>
      <c r="G306" s="239">
        <v>1.5218901178291224</v>
      </c>
      <c r="H306" s="239">
        <v>1.5652628720628579</v>
      </c>
      <c r="I306" s="239">
        <v>1.6386944108419461</v>
      </c>
      <c r="J306" s="239">
        <v>1.7442936735950385</v>
      </c>
      <c r="K306" s="239">
        <v>1.8897143400502945</v>
      </c>
      <c r="L306" s="239">
        <v>2.0745367129645325</v>
      </c>
      <c r="M306" s="239">
        <v>2.2778759244724935</v>
      </c>
      <c r="N306" s="239">
        <v>2.494402498695576</v>
      </c>
      <c r="O306" s="239">
        <v>2.7330437043928804</v>
      </c>
      <c r="P306" s="239">
        <v>2.9886458068330803</v>
      </c>
      <c r="Q306" s="19" t="s">
        <v>151</v>
      </c>
    </row>
    <row r="307" spans="1:17" x14ac:dyDescent="0.2">
      <c r="A307" s="19" t="s">
        <v>487</v>
      </c>
      <c r="B307" s="239">
        <v>0.99208680198297639</v>
      </c>
      <c r="C307" s="239">
        <v>1.2104719412947367</v>
      </c>
      <c r="D307" s="239">
        <v>0.96041642882860734</v>
      </c>
      <c r="E307" s="239">
        <v>1.0442114713710575</v>
      </c>
      <c r="F307" s="239">
        <v>0.98513617463342684</v>
      </c>
      <c r="G307" s="239">
        <v>1.0161810647284319</v>
      </c>
      <c r="H307" s="239">
        <v>1.0553954275276367</v>
      </c>
      <c r="I307" s="239">
        <v>1.1394628750376534</v>
      </c>
      <c r="J307" s="239">
        <v>1.2508157932711841</v>
      </c>
      <c r="K307" s="239">
        <v>1.4006447780829121</v>
      </c>
      <c r="L307" s="239">
        <v>1.5871819058393559</v>
      </c>
      <c r="M307" s="239">
        <v>1.7841828877803567</v>
      </c>
      <c r="N307" s="239">
        <v>1.992568120759179</v>
      </c>
      <c r="O307" s="239">
        <v>2.2245457420255033</v>
      </c>
      <c r="P307" s="239">
        <v>2.4730612340276585</v>
      </c>
      <c r="Q307" s="19" t="s">
        <v>151</v>
      </c>
    </row>
    <row r="308" spans="1:17" x14ac:dyDescent="0.2">
      <c r="A308" s="19" t="s">
        <v>488</v>
      </c>
      <c r="B308" s="239">
        <v>0.19146946029370498</v>
      </c>
      <c r="C308" s="239">
        <v>0.4368457568836378</v>
      </c>
      <c r="D308" s="239">
        <v>0.14483679186462112</v>
      </c>
      <c r="E308" s="239">
        <v>4.5650076171826676E-2</v>
      </c>
      <c r="F308" s="239">
        <v>9.0383054763270521E-2</v>
      </c>
      <c r="G308" s="239">
        <v>0.17154275257366952</v>
      </c>
      <c r="H308" s="239">
        <v>0.18689019090756945</v>
      </c>
      <c r="I308" s="239">
        <v>0.2451037458752669</v>
      </c>
      <c r="J308" s="239">
        <v>0.33145543529752558</v>
      </c>
      <c r="K308" s="239">
        <v>0.45267047292263873</v>
      </c>
      <c r="L308" s="239">
        <v>0.60439809773304554</v>
      </c>
      <c r="M308" s="239">
        <v>0.78811328433849326</v>
      </c>
      <c r="N308" s="239">
        <v>0.98058528243187126</v>
      </c>
      <c r="O308" s="239">
        <v>1.1991253366793186</v>
      </c>
      <c r="P308" s="239">
        <v>1.4333502012144952</v>
      </c>
      <c r="Q308" s="19" t="s">
        <v>151</v>
      </c>
    </row>
    <row r="309" spans="1:17" x14ac:dyDescent="0.2">
      <c r="A309" s="19" t="s">
        <v>489</v>
      </c>
      <c r="B309" s="238"/>
      <c r="C309" s="238"/>
      <c r="D309" s="238"/>
      <c r="E309" s="238"/>
      <c r="F309" s="238"/>
      <c r="G309" s="238"/>
      <c r="H309" s="238"/>
      <c r="I309" s="238"/>
      <c r="J309" s="238"/>
      <c r="K309" s="238"/>
      <c r="L309" s="238"/>
      <c r="M309" s="238"/>
      <c r="N309" s="238"/>
      <c r="O309" s="238"/>
      <c r="P309" s="238"/>
    </row>
    <row r="310" spans="1:17" x14ac:dyDescent="0.2">
      <c r="A310" s="19" t="s">
        <v>490</v>
      </c>
      <c r="B310" s="239">
        <v>3.245646598272138E-2</v>
      </c>
      <c r="C310" s="239">
        <v>2.4918898451651195E-3</v>
      </c>
      <c r="D310" s="239">
        <v>3.9660272442204421E-3</v>
      </c>
      <c r="E310" s="239">
        <v>2.4574291288325827E-2</v>
      </c>
      <c r="F310" s="239">
        <v>0.14293552938572626</v>
      </c>
      <c r="G310" s="239">
        <v>0.13926027671926691</v>
      </c>
      <c r="H310" s="239">
        <v>0.13490616976682634</v>
      </c>
      <c r="I310" s="239">
        <v>0.12696321695999938</v>
      </c>
      <c r="J310" s="239">
        <v>0.11704681768851243</v>
      </c>
      <c r="K310" s="239">
        <v>0.10612210670172835</v>
      </c>
      <c r="L310" s="239">
        <v>9.4744965696592159E-2</v>
      </c>
      <c r="M310" s="239">
        <v>8.4463368764488761E-2</v>
      </c>
      <c r="N310" s="239">
        <v>7.52557054531659E-2</v>
      </c>
      <c r="O310" s="239">
        <v>6.7118627612056059E-2</v>
      </c>
      <c r="P310" s="239">
        <v>5.9944136606705251E-2</v>
      </c>
      <c r="Q310" s="19" t="s">
        <v>151</v>
      </c>
    </row>
    <row r="311" spans="1:17" x14ac:dyDescent="0.2">
      <c r="A311" s="19" t="s">
        <v>491</v>
      </c>
      <c r="B311" s="239">
        <v>0.27213563158763471</v>
      </c>
      <c r="C311" s="239">
        <v>1.3408405721286877E-2</v>
      </c>
      <c r="D311" s="239">
        <v>2.4694090492300882E-2</v>
      </c>
      <c r="E311" s="239">
        <v>0.13251854064655227</v>
      </c>
      <c r="F311" s="239">
        <v>0.7285739467653799</v>
      </c>
      <c r="G311" s="239">
        <v>0.72210396126994369</v>
      </c>
      <c r="H311" s="239">
        <v>0.61833058880859115</v>
      </c>
      <c r="I311" s="239">
        <v>0.42509121145624329</v>
      </c>
      <c r="J311" s="239">
        <v>0.32861206161744327</v>
      </c>
      <c r="K311" s="239">
        <v>0.2662705085864347</v>
      </c>
      <c r="L311" s="239">
        <v>0.22144584241220122</v>
      </c>
      <c r="M311" s="239">
        <v>0.1973834203764212</v>
      </c>
      <c r="N311" s="239">
        <v>0.17714688470095408</v>
      </c>
      <c r="O311" s="239">
        <v>0.16067168710107163</v>
      </c>
      <c r="P311" s="239">
        <v>0.14642021718570217</v>
      </c>
      <c r="Q311" s="19" t="s">
        <v>151</v>
      </c>
    </row>
    <row r="312" spans="1:17" x14ac:dyDescent="0.2">
      <c r="A312" s="19" t="s">
        <v>492</v>
      </c>
      <c r="B312" s="239">
        <v>18.707101896779886</v>
      </c>
      <c r="C312" s="239">
        <v>49.148173207036535</v>
      </c>
      <c r="D312" s="239">
        <v>136.32327586206895</v>
      </c>
      <c r="E312" s="239">
        <v>111.74600870827285</v>
      </c>
      <c r="F312" s="239">
        <v>66.170295489891132</v>
      </c>
      <c r="G312" s="239">
        <v>44.928309836626092</v>
      </c>
      <c r="H312" s="239">
        <v>49.880408030157611</v>
      </c>
      <c r="I312" s="239">
        <v>69.303451800692883</v>
      </c>
      <c r="J312" s="239">
        <v>85.741757801468026</v>
      </c>
      <c r="K312" s="239">
        <v>101.73905653714419</v>
      </c>
      <c r="L312" s="239">
        <v>117.31082304857705</v>
      </c>
      <c r="M312" s="239">
        <v>126.85036238758076</v>
      </c>
      <c r="N312" s="239">
        <v>136.21841411967625</v>
      </c>
      <c r="O312" s="239">
        <v>145.41897588733875</v>
      </c>
      <c r="P312" s="239">
        <v>154.45593687362518</v>
      </c>
      <c r="Q312" s="19" t="s">
        <v>151</v>
      </c>
    </row>
    <row r="313" spans="1:17" x14ac:dyDescent="0.2">
      <c r="A313" s="19" t="s">
        <v>493</v>
      </c>
      <c r="B313" s="238"/>
      <c r="C313" s="238"/>
      <c r="D313" s="238"/>
      <c r="E313" s="238"/>
      <c r="F313" s="238"/>
      <c r="G313" s="238"/>
      <c r="H313" s="238"/>
      <c r="I313" s="238"/>
      <c r="J313" s="238"/>
      <c r="K313" s="238"/>
      <c r="L313" s="238"/>
      <c r="M313" s="238"/>
      <c r="N313" s="238"/>
      <c r="O313" s="238"/>
      <c r="P313" s="238"/>
    </row>
    <row r="314" spans="1:17" x14ac:dyDescent="0.2">
      <c r="B314" s="238"/>
      <c r="C314" s="238"/>
      <c r="D314" s="238"/>
      <c r="E314" s="238"/>
      <c r="F314" s="238"/>
      <c r="G314" s="238"/>
      <c r="H314" s="238"/>
      <c r="I314" s="238"/>
      <c r="J314" s="238"/>
      <c r="K314" s="238"/>
      <c r="L314" s="238"/>
      <c r="M314" s="238"/>
      <c r="N314" s="238"/>
      <c r="O314" s="238"/>
      <c r="P314" s="238"/>
    </row>
    <row r="315" spans="1:17" x14ac:dyDescent="0.2">
      <c r="A315" s="19" t="s">
        <v>139</v>
      </c>
      <c r="B315" s="238">
        <v>204.44187112256512</v>
      </c>
      <c r="C315" s="238">
        <v>116.73159337279401</v>
      </c>
      <c r="D315" s="238">
        <v>122.18210186244538</v>
      </c>
      <c r="E315" s="238">
        <v>107.67866562060034</v>
      </c>
      <c r="F315" s="238">
        <v>116.40441668261481</v>
      </c>
      <c r="G315" s="238">
        <v>133.48772973220395</v>
      </c>
      <c r="H315" s="238">
        <v>133.48772973220395</v>
      </c>
      <c r="I315" s="238">
        <v>133.48772973220395</v>
      </c>
      <c r="J315" s="238">
        <v>133.48772973220395</v>
      </c>
      <c r="K315" s="238">
        <v>133.48772973220395</v>
      </c>
      <c r="L315" s="238">
        <v>133.48772973220395</v>
      </c>
      <c r="M315" s="238">
        <v>133.48772973220395</v>
      </c>
      <c r="N315" s="238">
        <v>133.48772973220395</v>
      </c>
      <c r="O315" s="238">
        <v>133.48772973220395</v>
      </c>
      <c r="P315" s="238">
        <v>133.48772973220395</v>
      </c>
      <c r="Q315" s="19" t="s">
        <v>138</v>
      </c>
    </row>
    <row r="316" spans="1:17" x14ac:dyDescent="0.2">
      <c r="A316" s="19" t="s">
        <v>494</v>
      </c>
      <c r="B316" s="238">
        <v>49.988547737233155</v>
      </c>
      <c r="C316" s="238">
        <v>34.899930813354544</v>
      </c>
      <c r="D316" s="238">
        <v>30.849139605875653</v>
      </c>
      <c r="E316" s="238">
        <v>46.076555820524248</v>
      </c>
      <c r="F316" s="238">
        <v>53.797449473273112</v>
      </c>
      <c r="G316" s="238">
        <v>43.122324690052139</v>
      </c>
      <c r="H316" s="238">
        <v>43.122324690052139</v>
      </c>
      <c r="I316" s="238">
        <v>43.122324690052139</v>
      </c>
      <c r="J316" s="238">
        <v>43.122324690052139</v>
      </c>
      <c r="K316" s="238">
        <v>43.122324690052139</v>
      </c>
      <c r="L316" s="238">
        <v>43.122324690052139</v>
      </c>
      <c r="M316" s="238">
        <v>43.122324690052139</v>
      </c>
      <c r="N316" s="238">
        <v>43.122324690052139</v>
      </c>
      <c r="O316" s="238">
        <v>43.122324690052139</v>
      </c>
      <c r="P316" s="238">
        <v>43.122324690052139</v>
      </c>
      <c r="Q316" s="19" t="s">
        <v>138</v>
      </c>
    </row>
    <row r="317" spans="1:17" x14ac:dyDescent="0.2">
      <c r="A317" s="19" t="s">
        <v>495</v>
      </c>
      <c r="B317" s="238">
        <v>110.6491340791713</v>
      </c>
      <c r="C317" s="238">
        <v>80.213977424210583</v>
      </c>
      <c r="D317" s="238">
        <v>60.617039166317291</v>
      </c>
      <c r="E317" s="238">
        <v>74.081843015066795</v>
      </c>
      <c r="F317" s="238">
        <v>81.974838184066726</v>
      </c>
      <c r="G317" s="238">
        <v>81.50736637376653</v>
      </c>
      <c r="H317" s="238">
        <v>81.50736637376653</v>
      </c>
      <c r="I317" s="238">
        <v>81.50736637376653</v>
      </c>
      <c r="J317" s="238">
        <v>81.50736637376653</v>
      </c>
      <c r="K317" s="238">
        <v>81.50736637376653</v>
      </c>
      <c r="L317" s="238">
        <v>81.50736637376653</v>
      </c>
      <c r="M317" s="238">
        <v>81.50736637376653</v>
      </c>
      <c r="N317" s="238">
        <v>81.50736637376653</v>
      </c>
      <c r="O317" s="238">
        <v>81.50736637376653</v>
      </c>
      <c r="P317" s="238">
        <v>81.50736637376653</v>
      </c>
      <c r="Q317" s="19" t="s">
        <v>138</v>
      </c>
    </row>
    <row r="318" spans="1:17" x14ac:dyDescent="0.2">
      <c r="A318" s="19" t="s">
        <v>496</v>
      </c>
      <c r="B318" s="238">
        <v>143.78128478062695</v>
      </c>
      <c r="C318" s="238">
        <v>71.417546761937984</v>
      </c>
      <c r="D318" s="238">
        <v>92.414202302003758</v>
      </c>
      <c r="E318" s="238">
        <v>79.673378426057809</v>
      </c>
      <c r="F318" s="238">
        <v>88.227027971821201</v>
      </c>
      <c r="G318" s="238">
        <v>95.102688048489568</v>
      </c>
      <c r="H318" s="238">
        <v>95.102688048489568</v>
      </c>
      <c r="I318" s="238">
        <v>95.102688048489568</v>
      </c>
      <c r="J318" s="238">
        <v>95.102688048489568</v>
      </c>
      <c r="K318" s="238">
        <v>95.102688048489568</v>
      </c>
      <c r="L318" s="238">
        <v>95.102688048489568</v>
      </c>
      <c r="M318" s="238">
        <v>95.102688048489568</v>
      </c>
      <c r="N318" s="238">
        <v>95.102688048489568</v>
      </c>
      <c r="O318" s="238">
        <v>95.102688048489568</v>
      </c>
      <c r="P318" s="238">
        <v>95.102688048489568</v>
      </c>
      <c r="Q318" s="19" t="s">
        <v>138</v>
      </c>
    </row>
    <row r="319" spans="1:17" x14ac:dyDescent="0.2">
      <c r="A319" s="19" t="s">
        <v>497</v>
      </c>
      <c r="B319" s="238"/>
      <c r="C319" s="238"/>
      <c r="D319" s="238"/>
      <c r="E319" s="238"/>
      <c r="F319" s="238"/>
      <c r="G319" s="238"/>
      <c r="H319" s="238"/>
      <c r="I319" s="238"/>
      <c r="J319" s="238"/>
      <c r="K319" s="238"/>
      <c r="L319" s="238"/>
      <c r="M319" s="238"/>
      <c r="N319" s="238"/>
      <c r="O319" s="238"/>
      <c r="P319" s="238"/>
    </row>
    <row r="320" spans="1:17" x14ac:dyDescent="0.2">
      <c r="A320" s="19" t="s">
        <v>498</v>
      </c>
      <c r="B320" s="238">
        <v>1.9450937773403325E-2</v>
      </c>
      <c r="C320" s="238">
        <v>6.153318620142504E-2</v>
      </c>
      <c r="D320" s="238">
        <v>4.8512910822417078E-2</v>
      </c>
      <c r="E320" s="238">
        <v>5.8250169777000212E-2</v>
      </c>
      <c r="F320" s="238">
        <v>5.3802906312820829E-2</v>
      </c>
      <c r="G320" s="238">
        <v>4.6231173006648918E-2</v>
      </c>
      <c r="H320" s="238">
        <v>5.5949057045663178E-2</v>
      </c>
      <c r="I320" s="238">
        <v>9.0453704032660079E-2</v>
      </c>
      <c r="J320" s="238">
        <v>0.11852932378058309</v>
      </c>
      <c r="K320" s="238">
        <v>0.1437793195700624</v>
      </c>
      <c r="L320" s="238">
        <v>0.16600397472805895</v>
      </c>
      <c r="M320" s="238">
        <v>0.17371474278347315</v>
      </c>
      <c r="N320" s="238">
        <v>0.17963169791251152</v>
      </c>
      <c r="O320" s="238">
        <v>0.18349062482364559</v>
      </c>
      <c r="P320" s="238">
        <v>0.1861542642509755</v>
      </c>
      <c r="Q320" s="19" t="s">
        <v>120</v>
      </c>
    </row>
    <row r="321" spans="1:17" x14ac:dyDescent="0.2">
      <c r="A321" s="19" t="s">
        <v>499</v>
      </c>
      <c r="B321" s="238">
        <v>3.174262345825328E-2</v>
      </c>
      <c r="C321" s="238">
        <v>9.2931159659428414E-2</v>
      </c>
      <c r="D321" s="238">
        <v>7.6755258848721503E-2</v>
      </c>
      <c r="E321" s="238">
        <v>9.8208224574286018E-2</v>
      </c>
      <c r="F321" s="238">
        <v>0.10124632692853416</v>
      </c>
      <c r="G321" s="238">
        <v>8.279977674183131E-2</v>
      </c>
      <c r="H321" s="238">
        <v>9.9461602421831233E-2</v>
      </c>
      <c r="I321" s="238">
        <v>0.15627613421983522</v>
      </c>
      <c r="J321" s="238">
        <v>0.19825882727042607</v>
      </c>
      <c r="K321" s="238">
        <v>0.23072123267875941</v>
      </c>
      <c r="L321" s="238">
        <v>0.25451468737875149</v>
      </c>
      <c r="M321" s="238">
        <v>0.25797921278471964</v>
      </c>
      <c r="N321" s="238">
        <v>0.25899625253351033</v>
      </c>
      <c r="O321" s="238">
        <v>0.25710996334294889</v>
      </c>
      <c r="P321" s="238">
        <v>0.25404329078840893</v>
      </c>
      <c r="Q321" s="19" t="s">
        <v>120</v>
      </c>
    </row>
    <row r="322" spans="1:17" x14ac:dyDescent="0.2">
      <c r="A322" s="19" t="s">
        <v>500</v>
      </c>
      <c r="B322" s="238">
        <v>5.1718381458066322E-2</v>
      </c>
      <c r="C322" s="238">
        <v>0.12811532945882709</v>
      </c>
      <c r="D322" s="238">
        <v>0.10541028696479829</v>
      </c>
      <c r="E322" s="238">
        <v>0.13210186921197659</v>
      </c>
      <c r="F322" s="238">
        <v>0.13918932920099644</v>
      </c>
      <c r="G322" s="238">
        <v>0.12162641601200451</v>
      </c>
      <c r="H322" s="238">
        <v>0.14627341675143576</v>
      </c>
      <c r="I322" s="238">
        <v>0.23078958152425877</v>
      </c>
      <c r="J322" s="238">
        <v>0.29469540678511558</v>
      </c>
      <c r="K322" s="238">
        <v>0.3451115941222116</v>
      </c>
      <c r="L322" s="238">
        <v>0.38269058986279147</v>
      </c>
      <c r="M322" s="238">
        <v>0.38639872612112397</v>
      </c>
      <c r="N322" s="238">
        <v>0.38663774634944575</v>
      </c>
      <c r="O322" s="238">
        <v>0.38256641862555413</v>
      </c>
      <c r="P322" s="238">
        <v>0.37689344189745499</v>
      </c>
      <c r="Q322" s="19" t="s">
        <v>120</v>
      </c>
    </row>
    <row r="326" spans="1:17" x14ac:dyDescent="0.2">
      <c r="A326" s="203" t="s">
        <v>340</v>
      </c>
      <c r="B326" s="200">
        <f>SUM(B322:B325)</f>
        <v>5.1718381458066322E-2</v>
      </c>
      <c r="C326" s="200">
        <f>SUM(C322:C325)</f>
        <v>0.12811532945882709</v>
      </c>
      <c r="D326" s="200">
        <f t="shared" ref="D326:P326" si="106">SUM(D322:D325)</f>
        <v>0.10541028696479829</v>
      </c>
      <c r="E326" s="200">
        <f t="shared" si="106"/>
        <v>0.13210186921197659</v>
      </c>
      <c r="F326" s="200">
        <f t="shared" si="106"/>
        <v>0.13918932920099644</v>
      </c>
      <c r="G326" s="200">
        <f t="shared" si="106"/>
        <v>0.12162641601200451</v>
      </c>
      <c r="H326" s="200">
        <f t="shared" si="106"/>
        <v>0.14627341675143576</v>
      </c>
      <c r="I326" s="200">
        <f t="shared" si="106"/>
        <v>0.23078958152425877</v>
      </c>
      <c r="J326" s="200">
        <f t="shared" si="106"/>
        <v>0.29469540678511558</v>
      </c>
      <c r="K326" s="200">
        <f t="shared" si="106"/>
        <v>0.3451115941222116</v>
      </c>
      <c r="L326" s="200">
        <f t="shared" si="106"/>
        <v>0.38269058986279147</v>
      </c>
      <c r="M326" s="200">
        <f t="shared" si="106"/>
        <v>0.38639872612112397</v>
      </c>
      <c r="N326" s="200">
        <f t="shared" si="106"/>
        <v>0.38663774634944575</v>
      </c>
      <c r="O326" s="200">
        <f t="shared" si="106"/>
        <v>0.38256641862555413</v>
      </c>
      <c r="P326" s="200">
        <f t="shared" si="106"/>
        <v>0.37689344189745499</v>
      </c>
    </row>
    <row r="327" spans="1:17" x14ac:dyDescent="0.2">
      <c r="A327" s="202" t="s">
        <v>383</v>
      </c>
      <c r="B327" s="197">
        <f>SUM(B322:B326)</f>
        <v>0.10343676291613264</v>
      </c>
      <c r="C327" s="197">
        <f t="shared" ref="C327:P327" si="107">SUM(C322:C326)</f>
        <v>0.25623065891765417</v>
      </c>
      <c r="D327" s="197">
        <f t="shared" si="107"/>
        <v>0.21082057392959658</v>
      </c>
      <c r="E327" s="197">
        <f t="shared" si="107"/>
        <v>0.26420373842395317</v>
      </c>
      <c r="F327" s="197">
        <f t="shared" si="107"/>
        <v>0.27837865840199288</v>
      </c>
      <c r="G327" s="197">
        <f t="shared" si="107"/>
        <v>0.24325283202400902</v>
      </c>
      <c r="H327" s="197">
        <f t="shared" si="107"/>
        <v>0.29254683350287153</v>
      </c>
      <c r="I327" s="197">
        <f t="shared" si="107"/>
        <v>0.46157916304851754</v>
      </c>
      <c r="J327" s="197">
        <f t="shared" si="107"/>
        <v>0.58939081357023115</v>
      </c>
      <c r="K327" s="197">
        <f t="shared" si="107"/>
        <v>0.69022318824442319</v>
      </c>
      <c r="L327" s="197">
        <f t="shared" si="107"/>
        <v>0.76538117972558295</v>
      </c>
      <c r="M327" s="197">
        <f t="shared" si="107"/>
        <v>0.77279745224224794</v>
      </c>
      <c r="N327" s="197">
        <f t="shared" si="107"/>
        <v>0.77327549269889151</v>
      </c>
      <c r="O327" s="197">
        <f t="shared" si="107"/>
        <v>0.76513283725110826</v>
      </c>
      <c r="P327" s="197">
        <f t="shared" si="107"/>
        <v>0.75378688379490999</v>
      </c>
    </row>
    <row r="329" spans="1:17" x14ac:dyDescent="0.2">
      <c r="A329" s="19" t="s">
        <v>367</v>
      </c>
    </row>
    <row r="330" spans="1:17" x14ac:dyDescent="0.2">
      <c r="A330" s="19" t="s">
        <v>368</v>
      </c>
      <c r="C330" s="19">
        <v>7.0999999999999994E-2</v>
      </c>
    </row>
    <row r="331" spans="1:17" x14ac:dyDescent="0.2">
      <c r="A331" s="19" t="s">
        <v>380</v>
      </c>
      <c r="C331" s="19">
        <v>0.92</v>
      </c>
    </row>
    <row r="332" spans="1:17" x14ac:dyDescent="0.2">
      <c r="A332" s="19" t="s">
        <v>369</v>
      </c>
      <c r="C332" s="19">
        <v>6.5000000000000002E-2</v>
      </c>
    </row>
    <row r="333" spans="1:17" x14ac:dyDescent="0.2">
      <c r="A333" s="19" t="s">
        <v>370</v>
      </c>
      <c r="C333" s="19">
        <v>0.1308</v>
      </c>
    </row>
    <row r="335" spans="1:17" x14ac:dyDescent="0.2">
      <c r="A335" s="19" t="s">
        <v>371</v>
      </c>
      <c r="C335" s="19">
        <v>3.9432128292398734E-2</v>
      </c>
    </row>
    <row r="336" spans="1:17" x14ac:dyDescent="0.2">
      <c r="A336" s="19" t="s">
        <v>372</v>
      </c>
      <c r="C336" s="19">
        <v>0.3</v>
      </c>
    </row>
    <row r="337" spans="1:3" x14ac:dyDescent="0.2">
      <c r="A337" s="19" t="s">
        <v>373</v>
      </c>
      <c r="C337" s="19">
        <v>2.7602489804679112E-2</v>
      </c>
    </row>
    <row r="339" spans="1:3" x14ac:dyDescent="0.2">
      <c r="A339" s="19" t="s">
        <v>379</v>
      </c>
      <c r="B339" s="56" t="s">
        <v>118</v>
      </c>
      <c r="C339" s="19">
        <v>3172800</v>
      </c>
    </row>
    <row r="340" spans="1:3" x14ac:dyDescent="0.2">
      <c r="A340" s="19" t="s">
        <v>377</v>
      </c>
      <c r="B340" s="56" t="s">
        <v>118</v>
      </c>
      <c r="C340" s="19">
        <v>61998</v>
      </c>
    </row>
    <row r="341" spans="1:3" x14ac:dyDescent="0.2">
      <c r="A341" s="19" t="s">
        <v>378</v>
      </c>
      <c r="C341" s="19">
        <v>3234798</v>
      </c>
    </row>
    <row r="343" spans="1:3" x14ac:dyDescent="0.2">
      <c r="A343" s="19" t="s">
        <v>374</v>
      </c>
      <c r="C343" s="238">
        <v>0.98083404280576403</v>
      </c>
    </row>
    <row r="344" spans="1:3" x14ac:dyDescent="0.2">
      <c r="A344" s="19" t="s">
        <v>375</v>
      </c>
      <c r="C344" s="238">
        <v>1.916595719423593E-2</v>
      </c>
    </row>
    <row r="346" spans="1:3" x14ac:dyDescent="0.2">
      <c r="A346" s="19" t="s">
        <v>376</v>
      </c>
      <c r="C346" s="19">
        <v>0.12882212093704473</v>
      </c>
    </row>
  </sheetData>
  <mergeCells count="2">
    <mergeCell ref="A1:B1"/>
    <mergeCell ref="A2:B2"/>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50D8-C2A2-0648-8599-7D8115B97FC8}">
  <dimension ref="A1:W60"/>
  <sheetViews>
    <sheetView showGridLines="0" workbookViewId="0">
      <selection sqref="A1:G1"/>
    </sheetView>
  </sheetViews>
  <sheetFormatPr baseColWidth="10" defaultRowHeight="16" x14ac:dyDescent="0.2"/>
  <cols>
    <col min="1" max="1" width="64.5" bestFit="1" customWidth="1"/>
    <col min="2" max="2" width="11.1640625" bestFit="1" customWidth="1"/>
    <col min="3" max="7" width="10.6640625" bestFit="1" customWidth="1"/>
  </cols>
  <sheetData>
    <row r="1" spans="1:23" s="91" customFormat="1" ht="36" customHeight="1" x14ac:dyDescent="0.35">
      <c r="A1" s="260" t="s">
        <v>105</v>
      </c>
      <c r="B1" s="260"/>
      <c r="C1" s="260"/>
      <c r="D1" s="260"/>
      <c r="E1" s="260"/>
      <c r="F1" s="260"/>
      <c r="G1" s="260"/>
    </row>
    <row r="2" spans="1:23" s="91" customFormat="1" ht="18" customHeight="1" x14ac:dyDescent="0.25">
      <c r="A2" s="261" t="s">
        <v>275</v>
      </c>
      <c r="B2" s="261"/>
      <c r="C2" s="261"/>
      <c r="D2" s="261"/>
      <c r="E2" s="261"/>
      <c r="F2" s="261"/>
      <c r="G2" s="261"/>
    </row>
    <row r="3" spans="1:23" s="91" customFormat="1" ht="18" customHeight="1" x14ac:dyDescent="0.2">
      <c r="A3" s="92"/>
      <c r="C3"/>
      <c r="D3"/>
      <c r="E3"/>
      <c r="F3"/>
      <c r="G3"/>
      <c r="H3"/>
      <c r="I3"/>
      <c r="J3"/>
      <c r="K3"/>
      <c r="L3"/>
      <c r="M3"/>
      <c r="N3"/>
      <c r="O3"/>
      <c r="P3"/>
      <c r="Q3"/>
      <c r="R3"/>
      <c r="S3"/>
      <c r="T3"/>
      <c r="U3"/>
      <c r="V3"/>
      <c r="W3"/>
    </row>
    <row r="4" spans="1:23" s="91" customFormat="1" ht="18" customHeight="1" x14ac:dyDescent="0.2">
      <c r="A4" s="92"/>
      <c r="C4"/>
      <c r="D4"/>
      <c r="E4"/>
      <c r="F4"/>
      <c r="G4"/>
      <c r="H4"/>
      <c r="I4"/>
      <c r="J4"/>
      <c r="K4"/>
      <c r="L4"/>
      <c r="M4"/>
      <c r="N4"/>
      <c r="O4"/>
      <c r="P4"/>
      <c r="Q4"/>
      <c r="R4"/>
      <c r="S4"/>
      <c r="T4"/>
      <c r="U4"/>
      <c r="V4"/>
      <c r="W4"/>
    </row>
    <row r="5" spans="1:23" s="91" customFormat="1" ht="18" customHeight="1" x14ac:dyDescent="0.2">
      <c r="A5" s="92"/>
      <c r="C5"/>
      <c r="D5"/>
      <c r="E5"/>
      <c r="F5"/>
      <c r="G5"/>
      <c r="H5"/>
      <c r="I5"/>
      <c r="J5"/>
      <c r="K5"/>
      <c r="L5"/>
      <c r="M5"/>
      <c r="N5"/>
      <c r="O5"/>
      <c r="P5"/>
      <c r="Q5"/>
      <c r="R5"/>
      <c r="S5"/>
      <c r="T5"/>
      <c r="U5"/>
      <c r="V5"/>
      <c r="W5"/>
    </row>
    <row r="6" spans="1:23" s="91" customFormat="1" ht="18" customHeight="1" x14ac:dyDescent="0.2">
      <c r="A6" s="92"/>
      <c r="C6"/>
      <c r="D6"/>
      <c r="E6"/>
      <c r="F6"/>
      <c r="G6"/>
      <c r="H6"/>
      <c r="I6"/>
      <c r="J6"/>
      <c r="K6"/>
      <c r="L6"/>
      <c r="M6"/>
      <c r="N6"/>
      <c r="O6"/>
      <c r="P6"/>
      <c r="Q6"/>
      <c r="R6"/>
      <c r="S6"/>
      <c r="T6"/>
      <c r="U6"/>
      <c r="V6"/>
      <c r="W6"/>
    </row>
    <row r="9" spans="1:23" x14ac:dyDescent="0.2">
      <c r="A9" s="127" t="s">
        <v>0</v>
      </c>
      <c r="B9" s="127" t="s">
        <v>1</v>
      </c>
      <c r="C9" s="127" t="s">
        <v>6</v>
      </c>
      <c r="D9" s="127" t="s">
        <v>5</v>
      </c>
      <c r="E9" s="127" t="s">
        <v>4</v>
      </c>
      <c r="F9" s="127" t="s">
        <v>3</v>
      </c>
      <c r="G9" s="127" t="s">
        <v>2</v>
      </c>
    </row>
    <row r="10" spans="1:23" x14ac:dyDescent="0.2">
      <c r="A10" t="s">
        <v>13</v>
      </c>
      <c r="C10" s="3">
        <v>192203</v>
      </c>
      <c r="D10" s="3">
        <v>189008</v>
      </c>
      <c r="E10" s="3">
        <v>183235</v>
      </c>
      <c r="F10" s="3">
        <v>176009</v>
      </c>
      <c r="G10" s="3">
        <v>173512</v>
      </c>
    </row>
    <row r="11" spans="1:23" x14ac:dyDescent="0.2">
      <c r="A11" t="s">
        <v>14</v>
      </c>
      <c r="C11" s="3">
        <v>12879</v>
      </c>
      <c r="D11" s="3">
        <v>10989</v>
      </c>
      <c r="E11" s="3">
        <v>7713</v>
      </c>
      <c r="F11" s="3">
        <v>17268</v>
      </c>
      <c r="G11" s="3">
        <v>25337</v>
      </c>
    </row>
    <row r="12" spans="1:23" x14ac:dyDescent="0.2">
      <c r="A12" t="s">
        <v>15</v>
      </c>
      <c r="C12" s="3">
        <v>2098</v>
      </c>
      <c r="D12" s="3">
        <v>1638</v>
      </c>
      <c r="E12" s="3">
        <v>1223</v>
      </c>
      <c r="F12">
        <v>904</v>
      </c>
      <c r="G12">
        <v>737</v>
      </c>
    </row>
    <row r="13" spans="1:23" x14ac:dyDescent="0.2">
      <c r="A13" t="s">
        <v>16</v>
      </c>
      <c r="C13">
        <v>645</v>
      </c>
      <c r="D13">
        <v>645</v>
      </c>
      <c r="E13">
        <v>645</v>
      </c>
      <c r="F13">
        <v>645</v>
      </c>
      <c r="G13">
        <v>645</v>
      </c>
    </row>
    <row r="14" spans="1:23" x14ac:dyDescent="0.2">
      <c r="A14" t="s">
        <v>17</v>
      </c>
      <c r="C14">
        <v>606</v>
      </c>
      <c r="D14">
        <v>835</v>
      </c>
      <c r="E14">
        <v>805</v>
      </c>
      <c r="F14">
        <v>797</v>
      </c>
      <c r="G14">
        <v>785</v>
      </c>
    </row>
    <row r="15" spans="1:23" x14ac:dyDescent="0.2">
      <c r="A15" t="s">
        <v>18</v>
      </c>
      <c r="C15" s="3">
        <v>4711</v>
      </c>
      <c r="D15" s="3">
        <v>4816</v>
      </c>
      <c r="E15" s="3">
        <v>4676</v>
      </c>
      <c r="F15" s="3">
        <v>3937</v>
      </c>
      <c r="G15" s="3">
        <v>4498</v>
      </c>
    </row>
    <row r="16" spans="1:23" x14ac:dyDescent="0.2">
      <c r="A16" t="s">
        <v>19</v>
      </c>
      <c r="C16" s="3">
        <v>20395</v>
      </c>
      <c r="D16" s="3">
        <v>20199</v>
      </c>
      <c r="E16" s="3">
        <v>22138</v>
      </c>
      <c r="F16" s="3">
        <v>21135</v>
      </c>
      <c r="G16" s="3">
        <v>22596</v>
      </c>
    </row>
    <row r="17" spans="1:7" x14ac:dyDescent="0.2">
      <c r="A17" t="s">
        <v>20</v>
      </c>
      <c r="C17" s="3">
        <v>3497</v>
      </c>
      <c r="D17" s="3">
        <v>3844</v>
      </c>
      <c r="E17" s="3">
        <v>4501</v>
      </c>
      <c r="F17" s="3">
        <v>5293</v>
      </c>
      <c r="G17" s="3">
        <v>6674</v>
      </c>
    </row>
    <row r="18" spans="1:7" x14ac:dyDescent="0.2">
      <c r="A18" t="s">
        <v>21</v>
      </c>
      <c r="C18" s="3">
        <v>15826</v>
      </c>
      <c r="D18" s="3">
        <v>25044</v>
      </c>
      <c r="E18" s="3">
        <v>34458</v>
      </c>
      <c r="F18" s="3">
        <v>37802</v>
      </c>
      <c r="G18" s="3">
        <v>42203</v>
      </c>
    </row>
    <row r="19" spans="1:7" x14ac:dyDescent="0.2">
      <c r="A19" s="9" t="s">
        <v>22</v>
      </c>
      <c r="B19" s="10"/>
      <c r="C19" s="14">
        <f>SUM(C10:C18)</f>
        <v>252860</v>
      </c>
      <c r="D19" s="14">
        <f>SUM(D10:D18)</f>
        <v>257018</v>
      </c>
      <c r="E19" s="14">
        <f>SUM(E10:E18)</f>
        <v>259394</v>
      </c>
      <c r="F19" s="14">
        <f>SUM(F10:F18)</f>
        <v>263790</v>
      </c>
      <c r="G19" s="14">
        <f>SUM(G10:G18)</f>
        <v>276987</v>
      </c>
    </row>
    <row r="20" spans="1:7" x14ac:dyDescent="0.2">
      <c r="A20" t="s">
        <v>23</v>
      </c>
      <c r="C20" s="3">
        <v>113668</v>
      </c>
      <c r="D20" s="3">
        <v>93581</v>
      </c>
      <c r="E20" s="3">
        <v>142781</v>
      </c>
      <c r="F20" s="3">
        <v>136874</v>
      </c>
      <c r="G20" s="3">
        <v>161643</v>
      </c>
    </row>
    <row r="21" spans="1:7" x14ac:dyDescent="0.2">
      <c r="A21" t="s">
        <v>24</v>
      </c>
      <c r="C21" s="3">
        <v>139499</v>
      </c>
      <c r="D21" s="3">
        <v>125486</v>
      </c>
      <c r="E21" s="3">
        <v>140732</v>
      </c>
      <c r="F21" s="3">
        <v>231384</v>
      </c>
      <c r="G21" s="3">
        <v>286063</v>
      </c>
    </row>
    <row r="22" spans="1:7" x14ac:dyDescent="0.2">
      <c r="A22" t="s">
        <v>25</v>
      </c>
      <c r="C22" s="3">
        <v>40970</v>
      </c>
      <c r="D22" s="3">
        <v>86260</v>
      </c>
      <c r="E22" s="3">
        <v>32986</v>
      </c>
      <c r="F22" s="3">
        <v>12915</v>
      </c>
      <c r="G22" s="3">
        <v>34192</v>
      </c>
    </row>
    <row r="23" spans="1:7" x14ac:dyDescent="0.2">
      <c r="A23" t="s">
        <v>26</v>
      </c>
      <c r="C23" s="3">
        <v>5958</v>
      </c>
      <c r="D23" s="3">
        <v>4708</v>
      </c>
      <c r="E23" s="3">
        <v>6543</v>
      </c>
      <c r="F23" s="3">
        <v>8505</v>
      </c>
      <c r="G23" s="3">
        <v>10096</v>
      </c>
    </row>
    <row r="24" spans="1:7" x14ac:dyDescent="0.2">
      <c r="A24" t="s">
        <v>18</v>
      </c>
      <c r="C24">
        <v>84</v>
      </c>
      <c r="D24">
        <v>115</v>
      </c>
      <c r="E24">
        <v>104</v>
      </c>
      <c r="F24">
        <v>254</v>
      </c>
      <c r="G24">
        <v>389</v>
      </c>
    </row>
    <row r="25" spans="1:7" x14ac:dyDescent="0.2">
      <c r="A25" t="s">
        <v>27</v>
      </c>
      <c r="C25" s="3">
        <v>31689</v>
      </c>
      <c r="D25" s="3">
        <v>27275</v>
      </c>
      <c r="E25" s="3">
        <v>45013</v>
      </c>
      <c r="F25" s="3">
        <v>51122</v>
      </c>
      <c r="G25" s="3">
        <v>52423</v>
      </c>
    </row>
    <row r="26" spans="1:7" x14ac:dyDescent="0.2">
      <c r="A26" s="9" t="s">
        <v>28</v>
      </c>
      <c r="B26" s="10"/>
      <c r="C26" s="14">
        <f>SUM(C20:C25)</f>
        <v>331868</v>
      </c>
      <c r="D26" s="14">
        <f>SUM(D20:D25)</f>
        <v>337425</v>
      </c>
      <c r="E26" s="14">
        <f>SUM(E20:E25)</f>
        <v>368159</v>
      </c>
      <c r="F26" s="14">
        <f>SUM(F20:F25)</f>
        <v>441054</v>
      </c>
      <c r="G26" s="14">
        <f>SUM(G20:G25)</f>
        <v>544806</v>
      </c>
    </row>
    <row r="27" spans="1:7" x14ac:dyDescent="0.2">
      <c r="A27" t="s">
        <v>29</v>
      </c>
      <c r="C27">
        <v>488</v>
      </c>
      <c r="D27">
        <v>488</v>
      </c>
      <c r="E27">
        <v>486</v>
      </c>
      <c r="F27">
        <v>493</v>
      </c>
      <c r="G27">
        <v>486</v>
      </c>
    </row>
    <row r="28" spans="1:7" x14ac:dyDescent="0.2">
      <c r="A28" s="9" t="s">
        <v>30</v>
      </c>
      <c r="B28" s="10"/>
      <c r="C28" s="14">
        <f>SUM(C19,C26,C27)</f>
        <v>585216</v>
      </c>
      <c r="D28" s="14">
        <f>SUM(D19,D26,D27)</f>
        <v>594931</v>
      </c>
      <c r="E28" s="14">
        <f>SUM(E19,E26,E27)</f>
        <v>628039</v>
      </c>
      <c r="F28" s="14">
        <f>SUM(F19,F26,F27)</f>
        <v>705337</v>
      </c>
      <c r="G28" s="14">
        <f>SUM(G19,G26,G27)</f>
        <v>822279</v>
      </c>
    </row>
    <row r="29" spans="1:7" x14ac:dyDescent="0.2">
      <c r="A29" s="8"/>
      <c r="B29" s="8"/>
      <c r="C29" s="8"/>
      <c r="D29" s="8"/>
      <c r="E29" s="8"/>
      <c r="F29" s="8"/>
      <c r="G29" s="8"/>
    </row>
    <row r="30" spans="1:7" x14ac:dyDescent="0.2">
      <c r="A30" s="15" t="s">
        <v>31</v>
      </c>
      <c r="C30" s="13">
        <v>2644</v>
      </c>
      <c r="D30" s="13">
        <v>2644</v>
      </c>
      <c r="E30" s="13">
        <v>2644</v>
      </c>
      <c r="F30" s="13">
        <v>2644</v>
      </c>
      <c r="G30" s="13">
        <v>2644</v>
      </c>
    </row>
    <row r="31" spans="1:7" x14ac:dyDescent="0.2">
      <c r="A31" s="8" t="s">
        <v>32</v>
      </c>
      <c r="C31" s="13">
        <v>355584</v>
      </c>
      <c r="D31" s="13">
        <v>390868</v>
      </c>
      <c r="E31" s="13">
        <v>393845</v>
      </c>
      <c r="F31" s="13">
        <v>415190</v>
      </c>
      <c r="G31" s="13">
        <v>433748</v>
      </c>
    </row>
    <row r="32" spans="1:7" x14ac:dyDescent="0.2">
      <c r="A32" s="8" t="s">
        <v>33</v>
      </c>
      <c r="C32" s="13">
        <f>SUM(C30:C31)</f>
        <v>358228</v>
      </c>
      <c r="D32" s="13">
        <f t="shared" ref="D32:G32" si="0">SUM(D30:D31)</f>
        <v>393512</v>
      </c>
      <c r="E32" s="13">
        <f t="shared" si="0"/>
        <v>396489</v>
      </c>
      <c r="F32" s="13">
        <f t="shared" si="0"/>
        <v>417834</v>
      </c>
      <c r="G32" s="13">
        <f t="shared" si="0"/>
        <v>436392</v>
      </c>
    </row>
    <row r="33" spans="1:7" x14ac:dyDescent="0.2">
      <c r="A33" s="8" t="s">
        <v>35</v>
      </c>
      <c r="C33" s="13">
        <v>375</v>
      </c>
      <c r="D33" s="13">
        <v>414</v>
      </c>
      <c r="E33" s="13">
        <v>461</v>
      </c>
      <c r="F33" s="13">
        <v>522</v>
      </c>
      <c r="G33" s="13">
        <v>572</v>
      </c>
    </row>
    <row r="34" spans="1:7" x14ac:dyDescent="0.2">
      <c r="A34" s="9" t="s">
        <v>10</v>
      </c>
      <c r="B34" s="10"/>
      <c r="C34" s="14">
        <f>SUM(C32:C33)</f>
        <v>358603</v>
      </c>
      <c r="D34" s="14">
        <f t="shared" ref="D34:G34" si="1">SUM(D32:D33)</f>
        <v>393926</v>
      </c>
      <c r="E34" s="14">
        <f t="shared" si="1"/>
        <v>396950</v>
      </c>
      <c r="F34" s="14">
        <f t="shared" si="1"/>
        <v>418356</v>
      </c>
      <c r="G34" s="14">
        <f t="shared" si="1"/>
        <v>436964</v>
      </c>
    </row>
    <row r="35" spans="1:7" x14ac:dyDescent="0.2">
      <c r="C35" s="13"/>
      <c r="D35" s="13"/>
      <c r="E35" s="13"/>
      <c r="F35" s="13"/>
      <c r="G35" s="13"/>
    </row>
    <row r="36" spans="1:7" x14ac:dyDescent="0.2">
      <c r="A36" s="15" t="s">
        <v>36</v>
      </c>
      <c r="C36" s="13"/>
      <c r="D36" s="13"/>
      <c r="E36" s="13"/>
      <c r="F36" s="13"/>
      <c r="G36" s="13"/>
    </row>
    <row r="37" spans="1:7" x14ac:dyDescent="0.2">
      <c r="A37" t="s">
        <v>37</v>
      </c>
      <c r="C37" s="13">
        <v>11524</v>
      </c>
      <c r="D37" s="13">
        <v>0</v>
      </c>
      <c r="E37" s="13">
        <v>0</v>
      </c>
      <c r="F37" s="13">
        <v>0</v>
      </c>
      <c r="G37" s="13">
        <v>0</v>
      </c>
    </row>
    <row r="38" spans="1:7" x14ac:dyDescent="0.2">
      <c r="A38" t="s">
        <v>38</v>
      </c>
      <c r="C38" s="13" t="s">
        <v>34</v>
      </c>
      <c r="D38" s="13">
        <v>606</v>
      </c>
      <c r="E38" s="13">
        <v>1074</v>
      </c>
      <c r="F38" s="13">
        <v>1690</v>
      </c>
      <c r="G38" s="13">
        <v>3569</v>
      </c>
    </row>
    <row r="39" spans="1:7" x14ac:dyDescent="0.2">
      <c r="A39" t="s">
        <v>39</v>
      </c>
      <c r="C39" s="13">
        <v>1109</v>
      </c>
      <c r="D39" s="13">
        <v>2497</v>
      </c>
      <c r="E39" s="13">
        <v>1845</v>
      </c>
      <c r="F39" s="13">
        <v>1461</v>
      </c>
      <c r="G39" s="13">
        <v>2040</v>
      </c>
    </row>
    <row r="40" spans="1:7" x14ac:dyDescent="0.2">
      <c r="A40" t="s">
        <v>40</v>
      </c>
      <c r="C40" s="13">
        <v>160</v>
      </c>
      <c r="D40" s="13">
        <v>441</v>
      </c>
      <c r="E40" s="13">
        <v>424</v>
      </c>
      <c r="F40" s="13">
        <v>917</v>
      </c>
      <c r="G40" s="13">
        <v>1405</v>
      </c>
    </row>
    <row r="41" spans="1:7" x14ac:dyDescent="0.2">
      <c r="A41" s="17" t="s">
        <v>41</v>
      </c>
      <c r="B41" s="17"/>
      <c r="C41" s="14">
        <v>12793</v>
      </c>
      <c r="D41" s="14">
        <v>3544</v>
      </c>
      <c r="E41" s="14">
        <v>3343</v>
      </c>
      <c r="F41" s="14">
        <v>4068</v>
      </c>
      <c r="G41" s="14">
        <v>7014</v>
      </c>
    </row>
    <row r="42" spans="1:7" x14ac:dyDescent="0.2">
      <c r="C42" s="13"/>
      <c r="D42" s="13"/>
      <c r="E42" s="13"/>
      <c r="F42" s="13"/>
      <c r="G42" s="13"/>
    </row>
    <row r="43" spans="1:7" x14ac:dyDescent="0.2">
      <c r="A43" s="8" t="s">
        <v>42</v>
      </c>
      <c r="C43" s="13"/>
      <c r="D43" s="13"/>
      <c r="E43" s="13"/>
      <c r="F43" s="13"/>
      <c r="G43" s="13"/>
    </row>
    <row r="44" spans="1:7" x14ac:dyDescent="0.2">
      <c r="A44" t="s">
        <v>37</v>
      </c>
      <c r="C44" s="13">
        <v>17</v>
      </c>
      <c r="D44" s="13">
        <v>0</v>
      </c>
      <c r="E44" s="13">
        <v>0</v>
      </c>
      <c r="F44" s="13">
        <v>7741</v>
      </c>
      <c r="G44" s="13">
        <v>57485</v>
      </c>
    </row>
    <row r="45" spans="1:7" x14ac:dyDescent="0.2">
      <c r="A45" t="s">
        <v>38</v>
      </c>
      <c r="C45" s="13" t="s">
        <v>34</v>
      </c>
      <c r="D45" s="13">
        <v>368</v>
      </c>
      <c r="E45" s="13">
        <v>488</v>
      </c>
      <c r="F45" s="13">
        <v>772</v>
      </c>
      <c r="G45" s="13">
        <v>944</v>
      </c>
    </row>
    <row r="46" spans="1:7" x14ac:dyDescent="0.2">
      <c r="A46" t="s">
        <v>43</v>
      </c>
      <c r="C46" s="13">
        <v>5205</v>
      </c>
      <c r="D46" s="13">
        <v>9158</v>
      </c>
      <c r="E46" s="13">
        <v>9530</v>
      </c>
      <c r="F46" s="13">
        <v>12566</v>
      </c>
      <c r="G46" s="13">
        <v>12693</v>
      </c>
    </row>
    <row r="47" spans="1:7" x14ac:dyDescent="0.2">
      <c r="A47" t="s">
        <v>44</v>
      </c>
      <c r="C47" s="13">
        <v>56603</v>
      </c>
      <c r="D47" s="13">
        <v>54642</v>
      </c>
      <c r="E47" s="13">
        <v>62168</v>
      </c>
      <c r="F47" s="13">
        <v>82279</v>
      </c>
      <c r="G47" s="13">
        <v>102262</v>
      </c>
    </row>
    <row r="48" spans="1:7" x14ac:dyDescent="0.2">
      <c r="A48" t="s">
        <v>39</v>
      </c>
      <c r="C48" s="13">
        <v>68177</v>
      </c>
      <c r="D48" s="13">
        <v>55810</v>
      </c>
      <c r="E48" s="13">
        <v>77835</v>
      </c>
      <c r="F48" s="13">
        <v>86664</v>
      </c>
      <c r="G48" s="13">
        <v>100578</v>
      </c>
    </row>
    <row r="49" spans="1:7" x14ac:dyDescent="0.2">
      <c r="A49" t="s">
        <v>45</v>
      </c>
      <c r="C49" s="13">
        <v>74710</v>
      </c>
      <c r="D49" s="13">
        <v>67261</v>
      </c>
      <c r="E49" s="13">
        <v>67518</v>
      </c>
      <c r="F49" s="13">
        <v>83327</v>
      </c>
      <c r="G49" s="13">
        <v>94769</v>
      </c>
    </row>
    <row r="50" spans="1:7" x14ac:dyDescent="0.2">
      <c r="A50" t="s">
        <v>40</v>
      </c>
      <c r="C50" s="13">
        <v>9108</v>
      </c>
      <c r="D50" s="13">
        <v>10222</v>
      </c>
      <c r="E50" s="13">
        <v>10207</v>
      </c>
      <c r="F50" s="13">
        <v>9564</v>
      </c>
      <c r="G50" s="13">
        <v>9570</v>
      </c>
    </row>
    <row r="51" spans="1:7" x14ac:dyDescent="0.2">
      <c r="A51" s="8" t="s">
        <v>12</v>
      </c>
      <c r="C51" s="13">
        <v>213820</v>
      </c>
      <c r="D51" s="13">
        <v>197461</v>
      </c>
      <c r="E51" s="13">
        <v>227746</v>
      </c>
      <c r="F51" s="13">
        <v>282913</v>
      </c>
      <c r="G51" s="13">
        <v>378301</v>
      </c>
    </row>
    <row r="52" spans="1:7" x14ac:dyDescent="0.2">
      <c r="A52" s="9" t="s">
        <v>46</v>
      </c>
      <c r="C52" s="16">
        <v>226613</v>
      </c>
      <c r="D52" s="16">
        <v>201005</v>
      </c>
      <c r="E52" s="16">
        <v>231089</v>
      </c>
      <c r="F52" s="16">
        <v>286981</v>
      </c>
      <c r="G52" s="16">
        <v>385315</v>
      </c>
    </row>
    <row r="53" spans="1:7" x14ac:dyDescent="0.2">
      <c r="A53" s="9" t="s">
        <v>47</v>
      </c>
      <c r="C53" s="14">
        <f>C34+C52</f>
        <v>585216</v>
      </c>
      <c r="D53" s="14">
        <f t="shared" ref="D53:G53" si="2">D34+D52</f>
        <v>594931</v>
      </c>
      <c r="E53" s="14">
        <f t="shared" si="2"/>
        <v>628039</v>
      </c>
      <c r="F53" s="14">
        <f t="shared" si="2"/>
        <v>705337</v>
      </c>
      <c r="G53" s="14">
        <f t="shared" si="2"/>
        <v>822279</v>
      </c>
    </row>
    <row r="54" spans="1:7" x14ac:dyDescent="0.2">
      <c r="A54" s="1"/>
      <c r="B54" s="2"/>
      <c r="C54" s="5"/>
      <c r="D54" s="5"/>
      <c r="E54" s="5"/>
      <c r="F54" s="4"/>
      <c r="G54" s="4"/>
    </row>
    <row r="55" spans="1:7" x14ac:dyDescent="0.2">
      <c r="A55" s="1"/>
      <c r="B55" s="2"/>
      <c r="C55" s="5"/>
      <c r="D55" s="5"/>
      <c r="E55" s="5"/>
      <c r="F55" s="4"/>
      <c r="G55" s="4"/>
    </row>
    <row r="56" spans="1:7" x14ac:dyDescent="0.2">
      <c r="A56" s="1"/>
      <c r="B56" s="2"/>
      <c r="C56" s="5"/>
      <c r="D56" s="5"/>
      <c r="E56" s="5"/>
      <c r="F56" s="4"/>
      <c r="G56" s="4"/>
    </row>
    <row r="57" spans="1:7" x14ac:dyDescent="0.2">
      <c r="A57" s="1"/>
      <c r="B57" s="6"/>
      <c r="C57" s="5"/>
      <c r="D57" s="5"/>
      <c r="E57" s="5"/>
      <c r="F57" s="4"/>
      <c r="G57" s="4"/>
    </row>
    <row r="58" spans="1:7" x14ac:dyDescent="0.2">
      <c r="A58" s="1"/>
      <c r="B58" s="6"/>
      <c r="C58" s="2"/>
      <c r="D58" s="2"/>
      <c r="E58" s="2"/>
      <c r="F58" s="2"/>
      <c r="G58" s="2"/>
    </row>
    <row r="59" spans="1:7" x14ac:dyDescent="0.2">
      <c r="A59" s="1"/>
      <c r="B59" s="6"/>
      <c r="C59" s="5"/>
      <c r="D59" s="5"/>
      <c r="E59" s="5"/>
      <c r="F59" s="4"/>
      <c r="G59" s="4"/>
    </row>
    <row r="60" spans="1:7" x14ac:dyDescent="0.2">
      <c r="A60" s="7"/>
      <c r="B60" s="6"/>
      <c r="C60" s="5"/>
      <c r="D60" s="5"/>
      <c r="E60" s="5"/>
      <c r="F60" s="4"/>
      <c r="G60" s="4"/>
    </row>
  </sheetData>
  <mergeCells count="2">
    <mergeCell ref="A1:G1"/>
    <mergeCell ref="A2:G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C37F5-63A0-2D42-858A-594D53488CEF}">
  <dimension ref="A1:W61"/>
  <sheetViews>
    <sheetView showGridLines="0" zoomScale="75" workbookViewId="0">
      <selection activeCell="A30" sqref="A30"/>
    </sheetView>
  </sheetViews>
  <sheetFormatPr baseColWidth="10" defaultRowHeight="16" x14ac:dyDescent="0.2"/>
  <cols>
    <col min="1" max="1" width="73.5" customWidth="1"/>
    <col min="3" max="7" width="10.83203125" style="10"/>
  </cols>
  <sheetData>
    <row r="1" spans="1:23" s="91" customFormat="1" ht="36" customHeight="1" x14ac:dyDescent="0.35">
      <c r="A1" s="260" t="s">
        <v>105</v>
      </c>
      <c r="B1" s="260"/>
      <c r="C1" s="260"/>
      <c r="D1" s="260"/>
      <c r="E1" s="260"/>
      <c r="F1" s="260"/>
      <c r="G1" s="260"/>
    </row>
    <row r="2" spans="1:23" s="91" customFormat="1" ht="18" customHeight="1" x14ac:dyDescent="0.25">
      <c r="A2" s="262" t="s">
        <v>276</v>
      </c>
      <c r="B2" s="262"/>
      <c r="C2" s="262"/>
      <c r="D2" s="262"/>
      <c r="E2" s="262"/>
      <c r="F2" s="262"/>
      <c r="G2" s="262"/>
    </row>
    <row r="3" spans="1:23" s="91" customFormat="1" ht="18" customHeight="1" x14ac:dyDescent="0.2">
      <c r="A3" s="92"/>
      <c r="C3"/>
      <c r="D3"/>
      <c r="E3"/>
      <c r="F3"/>
      <c r="G3"/>
      <c r="H3"/>
      <c r="I3"/>
      <c r="J3"/>
      <c r="K3"/>
      <c r="L3"/>
      <c r="M3"/>
      <c r="N3"/>
      <c r="O3"/>
      <c r="P3"/>
      <c r="Q3"/>
      <c r="R3"/>
      <c r="S3"/>
      <c r="T3"/>
      <c r="U3"/>
      <c r="V3"/>
      <c r="W3"/>
    </row>
    <row r="4" spans="1:23" s="91" customFormat="1" ht="18" customHeight="1" x14ac:dyDescent="0.2">
      <c r="A4" s="92"/>
      <c r="C4"/>
      <c r="D4"/>
      <c r="E4"/>
      <c r="F4"/>
      <c r="G4"/>
      <c r="H4"/>
      <c r="I4"/>
      <c r="J4"/>
      <c r="K4"/>
      <c r="L4"/>
      <c r="M4"/>
      <c r="N4"/>
      <c r="O4"/>
      <c r="P4"/>
      <c r="Q4"/>
      <c r="R4"/>
      <c r="S4"/>
      <c r="T4"/>
      <c r="U4"/>
      <c r="V4"/>
      <c r="W4"/>
    </row>
    <row r="5" spans="1:23" s="91" customFormat="1" ht="18" customHeight="1" x14ac:dyDescent="0.2">
      <c r="A5" s="92"/>
      <c r="C5"/>
      <c r="D5"/>
      <c r="E5"/>
      <c r="F5"/>
      <c r="G5"/>
      <c r="H5"/>
      <c r="I5"/>
      <c r="J5"/>
      <c r="K5"/>
      <c r="L5"/>
      <c r="M5"/>
      <c r="N5"/>
      <c r="O5"/>
      <c r="P5"/>
      <c r="Q5"/>
      <c r="R5"/>
      <c r="S5"/>
      <c r="T5"/>
      <c r="U5"/>
      <c r="V5"/>
      <c r="W5"/>
    </row>
    <row r="6" spans="1:23" s="91" customFormat="1" ht="18" customHeight="1" x14ac:dyDescent="0.2">
      <c r="A6" s="92"/>
      <c r="C6"/>
      <c r="D6"/>
      <c r="E6"/>
      <c r="F6"/>
      <c r="G6"/>
      <c r="H6"/>
      <c r="I6"/>
      <c r="J6"/>
      <c r="K6"/>
      <c r="L6"/>
      <c r="M6"/>
      <c r="N6"/>
      <c r="O6"/>
      <c r="P6"/>
      <c r="Q6"/>
      <c r="R6"/>
      <c r="S6"/>
      <c r="T6"/>
      <c r="U6"/>
      <c r="V6"/>
      <c r="W6"/>
    </row>
    <row r="7" spans="1:23" x14ac:dyDescent="0.2">
      <c r="C7"/>
      <c r="D7"/>
      <c r="E7"/>
      <c r="F7"/>
      <c r="G7"/>
    </row>
    <row r="8" spans="1:23" x14ac:dyDescent="0.2">
      <c r="C8"/>
      <c r="D8"/>
      <c r="E8"/>
      <c r="F8"/>
      <c r="G8"/>
    </row>
    <row r="10" spans="1:23" x14ac:dyDescent="0.2">
      <c r="A10" s="127" t="s">
        <v>0</v>
      </c>
      <c r="B10" s="127" t="s">
        <v>1</v>
      </c>
      <c r="C10" s="127" t="s">
        <v>6</v>
      </c>
      <c r="D10" s="127" t="s">
        <v>5</v>
      </c>
      <c r="E10" s="127" t="s">
        <v>4</v>
      </c>
      <c r="F10" s="127" t="s">
        <v>3</v>
      </c>
      <c r="G10" s="127" t="s">
        <v>2</v>
      </c>
    </row>
    <row r="11" spans="1:23" x14ac:dyDescent="0.2">
      <c r="A11" s="8" t="s">
        <v>48</v>
      </c>
    </row>
    <row r="12" spans="1:23" x14ac:dyDescent="0.2">
      <c r="A12" t="s">
        <v>49</v>
      </c>
      <c r="B12" t="s">
        <v>50</v>
      </c>
      <c r="C12" s="11">
        <v>1018576</v>
      </c>
      <c r="D12" s="11">
        <v>1312392</v>
      </c>
      <c r="E12" s="11">
        <v>1665109</v>
      </c>
      <c r="F12" s="11">
        <v>1837953</v>
      </c>
      <c r="G12" s="11">
        <v>1940854</v>
      </c>
    </row>
    <row r="13" spans="1:23" x14ac:dyDescent="0.2">
      <c r="A13" t="s">
        <v>51</v>
      </c>
      <c r="B13" t="s">
        <v>52</v>
      </c>
      <c r="C13" s="11">
        <v>5025</v>
      </c>
      <c r="D13" s="11">
        <v>2979</v>
      </c>
      <c r="E13" s="11">
        <v>4943</v>
      </c>
      <c r="F13" s="11">
        <v>7374</v>
      </c>
      <c r="G13" s="11">
        <v>3590</v>
      </c>
    </row>
    <row r="14" spans="1:23" x14ac:dyDescent="0.2">
      <c r="A14" s="9" t="s">
        <v>53</v>
      </c>
      <c r="C14" s="14">
        <f>SUM(C12:C13)</f>
        <v>1023601</v>
      </c>
      <c r="D14" s="14">
        <f t="shared" ref="D14:G14" si="0">SUM(D12:D13)</f>
        <v>1315371</v>
      </c>
      <c r="E14" s="14">
        <f t="shared" si="0"/>
        <v>1670052</v>
      </c>
      <c r="F14" s="14">
        <f t="shared" si="0"/>
        <v>1845327</v>
      </c>
      <c r="G14" s="14">
        <f t="shared" si="0"/>
        <v>1944444</v>
      </c>
    </row>
    <row r="16" spans="1:23" x14ac:dyDescent="0.2">
      <c r="A16" s="8" t="s">
        <v>54</v>
      </c>
    </row>
    <row r="17" spans="1:13" x14ac:dyDescent="0.2">
      <c r="A17" t="s">
        <v>55</v>
      </c>
      <c r="B17" t="s">
        <v>56</v>
      </c>
      <c r="C17" s="11">
        <v>196516</v>
      </c>
      <c r="D17" s="11">
        <v>270729</v>
      </c>
      <c r="E17" s="11">
        <v>422476</v>
      </c>
      <c r="F17" s="11">
        <v>456755</v>
      </c>
      <c r="G17" s="11">
        <v>493673</v>
      </c>
      <c r="I17" s="3"/>
      <c r="J17" s="3"/>
      <c r="K17" s="3"/>
      <c r="L17" s="3"/>
      <c r="M17" s="3"/>
    </row>
    <row r="18" spans="1:13" x14ac:dyDescent="0.2">
      <c r="A18" t="s">
        <v>57</v>
      </c>
      <c r="B18" t="s">
        <v>58</v>
      </c>
      <c r="C18" s="11">
        <v>7371</v>
      </c>
      <c r="D18" s="11">
        <v>19582</v>
      </c>
      <c r="E18" s="11">
        <v>9247</v>
      </c>
      <c r="F18" s="11">
        <v>11825</v>
      </c>
      <c r="G18" s="11">
        <v>18174</v>
      </c>
    </row>
    <row r="19" spans="1:13" x14ac:dyDescent="0.2">
      <c r="A19" t="s">
        <v>59</v>
      </c>
      <c r="B19" t="s">
        <v>60</v>
      </c>
      <c r="C19" s="10">
        <v>-950</v>
      </c>
      <c r="D19" s="11">
        <v>2301</v>
      </c>
      <c r="E19" s="11">
        <v>-5187</v>
      </c>
      <c r="F19" s="11">
        <v>-3345</v>
      </c>
      <c r="G19" s="11">
        <v>-4996</v>
      </c>
    </row>
    <row r="20" spans="1:13" x14ac:dyDescent="0.2">
      <c r="A20" t="s">
        <v>61</v>
      </c>
      <c r="B20" t="s">
        <v>34</v>
      </c>
      <c r="C20" s="11">
        <v>594267</v>
      </c>
      <c r="D20" s="11">
        <v>728548</v>
      </c>
      <c r="E20" s="11">
        <v>915117</v>
      </c>
      <c r="F20" s="11">
        <v>1025685</v>
      </c>
      <c r="G20" s="11">
        <v>1049345</v>
      </c>
    </row>
    <row r="21" spans="1:13" x14ac:dyDescent="0.2">
      <c r="A21" t="s">
        <v>62</v>
      </c>
      <c r="B21" t="s">
        <v>63</v>
      </c>
      <c r="C21" s="11">
        <v>48549</v>
      </c>
      <c r="D21" s="11">
        <v>52312</v>
      </c>
      <c r="E21" s="11">
        <v>41183</v>
      </c>
      <c r="F21" s="11">
        <v>45210</v>
      </c>
      <c r="G21" s="11">
        <v>52180</v>
      </c>
    </row>
    <row r="22" spans="1:13" x14ac:dyDescent="0.2">
      <c r="A22" t="s">
        <v>64</v>
      </c>
      <c r="B22" t="s">
        <v>34</v>
      </c>
      <c r="C22" s="10" t="s">
        <v>34</v>
      </c>
      <c r="D22" s="10" t="s">
        <v>34</v>
      </c>
      <c r="E22" s="11">
        <v>18368</v>
      </c>
      <c r="F22" s="11">
        <v>19525</v>
      </c>
      <c r="G22" s="11">
        <v>19666</v>
      </c>
    </row>
    <row r="23" spans="1:13" x14ac:dyDescent="0.2">
      <c r="A23" t="s">
        <v>65</v>
      </c>
      <c r="B23" t="s">
        <v>66</v>
      </c>
      <c r="C23" s="11">
        <v>2267</v>
      </c>
      <c r="D23" s="11">
        <v>1478</v>
      </c>
      <c r="E23" s="10">
        <v>464</v>
      </c>
      <c r="F23" s="10">
        <v>689</v>
      </c>
      <c r="G23" s="11">
        <v>1286</v>
      </c>
    </row>
    <row r="24" spans="1:13" x14ac:dyDescent="0.2">
      <c r="A24" t="s">
        <v>67</v>
      </c>
      <c r="B24" t="s">
        <v>68</v>
      </c>
      <c r="C24" s="11">
        <v>23201</v>
      </c>
      <c r="D24" s="11">
        <v>21719</v>
      </c>
      <c r="E24" s="11">
        <v>21059</v>
      </c>
      <c r="F24" s="11">
        <v>21190</v>
      </c>
      <c r="G24" s="11">
        <v>23298</v>
      </c>
    </row>
    <row r="25" spans="1:13" x14ac:dyDescent="0.2">
      <c r="A25" t="s">
        <v>69</v>
      </c>
      <c r="B25" t="s">
        <v>70</v>
      </c>
      <c r="C25" s="11">
        <v>134717</v>
      </c>
      <c r="D25" s="11">
        <v>169258</v>
      </c>
      <c r="E25" s="11">
        <v>202282</v>
      </c>
      <c r="F25" s="11">
        <v>212679</v>
      </c>
      <c r="G25" s="11">
        <v>228731</v>
      </c>
    </row>
    <row r="26" spans="1:13" x14ac:dyDescent="0.2">
      <c r="A26" s="9" t="s">
        <v>71</v>
      </c>
      <c r="C26" s="12">
        <f>-SUM(C17:C25)</f>
        <v>-1005938</v>
      </c>
      <c r="D26" s="12">
        <f t="shared" ref="D26:G26" si="1">-SUM(D17:D25)</f>
        <v>-1265927</v>
      </c>
      <c r="E26" s="12">
        <f t="shared" si="1"/>
        <v>-1625009</v>
      </c>
      <c r="F26" s="12">
        <f t="shared" si="1"/>
        <v>-1790213</v>
      </c>
      <c r="G26" s="12">
        <f t="shared" si="1"/>
        <v>-1881357</v>
      </c>
    </row>
    <row r="28" spans="1:13" x14ac:dyDescent="0.2">
      <c r="A28" s="9" t="s">
        <v>72</v>
      </c>
      <c r="C28" s="14">
        <f>SUM(C14,C26)</f>
        <v>17663</v>
      </c>
      <c r="D28" s="14">
        <f t="shared" ref="D28:G28" si="2">SUM(D14,D26)</f>
        <v>49444</v>
      </c>
      <c r="E28" s="14">
        <f t="shared" si="2"/>
        <v>45043</v>
      </c>
      <c r="F28" s="14">
        <f t="shared" si="2"/>
        <v>55114</v>
      </c>
      <c r="G28" s="14">
        <f t="shared" si="2"/>
        <v>63087</v>
      </c>
    </row>
    <row r="29" spans="1:13" x14ac:dyDescent="0.2">
      <c r="A29" t="s">
        <v>73</v>
      </c>
      <c r="B29" t="s">
        <v>74</v>
      </c>
      <c r="C29" s="10">
        <v>-722</v>
      </c>
      <c r="D29" s="10" t="s">
        <v>34</v>
      </c>
      <c r="E29" s="11">
        <v>-3312</v>
      </c>
      <c r="F29" s="10" t="s">
        <v>34</v>
      </c>
      <c r="G29" s="11">
        <v>-2576</v>
      </c>
    </row>
    <row r="30" spans="1:13" x14ac:dyDescent="0.2">
      <c r="A30" s="9" t="s">
        <v>75</v>
      </c>
      <c r="C30" s="12">
        <f>SUM(C28:C29)</f>
        <v>16941</v>
      </c>
      <c r="D30" s="12">
        <f t="shared" ref="D30:G30" si="3">SUM(D28:D29)</f>
        <v>49444</v>
      </c>
      <c r="E30" s="12">
        <f t="shared" si="3"/>
        <v>41731</v>
      </c>
      <c r="F30" s="12">
        <f t="shared" si="3"/>
        <v>55114</v>
      </c>
      <c r="G30" s="12">
        <f t="shared" si="3"/>
        <v>60511</v>
      </c>
    </row>
    <row r="32" spans="1:13" x14ac:dyDescent="0.2">
      <c r="A32" s="8" t="s">
        <v>76</v>
      </c>
    </row>
    <row r="33" spans="1:7" x14ac:dyDescent="0.2">
      <c r="A33" t="s">
        <v>77</v>
      </c>
      <c r="B33" t="s">
        <v>78</v>
      </c>
      <c r="C33" s="11">
        <v>-6779</v>
      </c>
      <c r="D33" s="11">
        <v>-13203</v>
      </c>
      <c r="E33" s="11">
        <v>-12035</v>
      </c>
      <c r="F33" s="11">
        <v>-14879</v>
      </c>
      <c r="G33" s="11">
        <v>-17731</v>
      </c>
    </row>
    <row r="34" spans="1:7" x14ac:dyDescent="0.2">
      <c r="A34" t="s">
        <v>79</v>
      </c>
      <c r="B34" t="s">
        <v>78</v>
      </c>
      <c r="C34" s="11">
        <v>1221</v>
      </c>
      <c r="D34" s="10">
        <v>367</v>
      </c>
      <c r="E34" s="10">
        <v>772</v>
      </c>
      <c r="F34" s="10">
        <v>851</v>
      </c>
      <c r="G34" s="11">
        <v>1461</v>
      </c>
    </row>
    <row r="35" spans="1:7" x14ac:dyDescent="0.2">
      <c r="A35" s="8" t="s">
        <v>80</v>
      </c>
      <c r="C35" s="12">
        <f>SUM(C33:C34)</f>
        <v>-5558</v>
      </c>
      <c r="D35" s="12">
        <f t="shared" ref="D35:G35" si="4">SUM(D33:D34)</f>
        <v>-12836</v>
      </c>
      <c r="E35" s="12">
        <f t="shared" si="4"/>
        <v>-11263</v>
      </c>
      <c r="F35" s="12">
        <f t="shared" si="4"/>
        <v>-14028</v>
      </c>
      <c r="G35" s="12">
        <f t="shared" si="4"/>
        <v>-16270</v>
      </c>
    </row>
    <row r="36" spans="1:7" x14ac:dyDescent="0.2">
      <c r="A36" s="9" t="s">
        <v>81</v>
      </c>
      <c r="C36" s="12">
        <f>SUM(C35,C30)</f>
        <v>11383</v>
      </c>
      <c r="D36" s="12">
        <f t="shared" ref="D36:G36" si="5">SUM(D35,D30)</f>
        <v>36608</v>
      </c>
      <c r="E36" s="12">
        <f t="shared" si="5"/>
        <v>30468</v>
      </c>
      <c r="F36" s="12">
        <f t="shared" si="5"/>
        <v>41086</v>
      </c>
      <c r="G36" s="12">
        <f t="shared" si="5"/>
        <v>44241</v>
      </c>
    </row>
    <row r="38" spans="1:7" x14ac:dyDescent="0.2">
      <c r="A38" s="8" t="s">
        <v>82</v>
      </c>
    </row>
    <row r="39" spans="1:7" x14ac:dyDescent="0.2">
      <c r="A39" t="s">
        <v>83</v>
      </c>
      <c r="C39" s="11">
        <v>1991</v>
      </c>
      <c r="D39" s="10">
        <v>80</v>
      </c>
      <c r="E39" s="10">
        <v>457</v>
      </c>
      <c r="F39" s="10">
        <v>232</v>
      </c>
      <c r="G39" s="10">
        <v>318</v>
      </c>
    </row>
    <row r="40" spans="1:7" x14ac:dyDescent="0.2">
      <c r="A40" t="s">
        <v>84</v>
      </c>
      <c r="C40" s="10">
        <v>-501</v>
      </c>
      <c r="D40" s="10">
        <v>-20</v>
      </c>
      <c r="E40" s="10">
        <v>-115</v>
      </c>
      <c r="F40" s="10">
        <v>-59</v>
      </c>
      <c r="G40" s="10">
        <v>-80</v>
      </c>
    </row>
    <row r="41" spans="1:7" x14ac:dyDescent="0.2">
      <c r="A41" s="8" t="s">
        <v>85</v>
      </c>
      <c r="C41" s="12">
        <v>1490</v>
      </c>
      <c r="D41" s="9">
        <v>60</v>
      </c>
      <c r="E41" s="9">
        <v>342</v>
      </c>
      <c r="F41" s="9">
        <v>173</v>
      </c>
      <c r="G41" s="9">
        <v>238</v>
      </c>
    </row>
    <row r="42" spans="1:7" x14ac:dyDescent="0.2">
      <c r="A42" s="8" t="s">
        <v>86</v>
      </c>
      <c r="C42" s="12">
        <v>12873</v>
      </c>
      <c r="D42" s="12">
        <v>36668</v>
      </c>
      <c r="E42" s="12">
        <v>30810</v>
      </c>
      <c r="F42" s="12">
        <v>41259</v>
      </c>
      <c r="G42" s="12">
        <v>44479</v>
      </c>
    </row>
    <row r="44" spans="1:7" x14ac:dyDescent="0.2">
      <c r="A44" s="8" t="s">
        <v>87</v>
      </c>
    </row>
    <row r="45" spans="1:7" x14ac:dyDescent="0.2">
      <c r="A45" t="s">
        <v>88</v>
      </c>
      <c r="C45" s="11">
        <v>11322</v>
      </c>
      <c r="D45" s="11">
        <v>36546</v>
      </c>
      <c r="E45" s="11">
        <v>30398</v>
      </c>
      <c r="F45" s="11">
        <v>41003</v>
      </c>
      <c r="G45" s="11">
        <v>44169</v>
      </c>
    </row>
    <row r="46" spans="1:7" x14ac:dyDescent="0.2">
      <c r="A46" t="s">
        <v>89</v>
      </c>
      <c r="C46" s="10">
        <v>61</v>
      </c>
      <c r="D46" s="10">
        <v>62</v>
      </c>
      <c r="E46" s="10">
        <v>70</v>
      </c>
      <c r="F46" s="10">
        <v>83</v>
      </c>
      <c r="G46" s="10">
        <v>72</v>
      </c>
    </row>
    <row r="47" spans="1:7" x14ac:dyDescent="0.2">
      <c r="A47" s="8" t="s">
        <v>90</v>
      </c>
      <c r="C47" s="12">
        <v>11383</v>
      </c>
      <c r="D47" s="12">
        <v>36608</v>
      </c>
      <c r="E47" s="12">
        <v>30468</v>
      </c>
      <c r="F47" s="12">
        <v>41086</v>
      </c>
      <c r="G47" s="12">
        <v>44241</v>
      </c>
    </row>
    <row r="49" spans="1:7" x14ac:dyDescent="0.2">
      <c r="A49" s="8" t="s">
        <v>91</v>
      </c>
    </row>
    <row r="50" spans="1:7" x14ac:dyDescent="0.2">
      <c r="A50" t="s">
        <v>88</v>
      </c>
      <c r="C50" s="11">
        <v>1490</v>
      </c>
      <c r="D50" s="10">
        <v>60</v>
      </c>
      <c r="E50" s="10">
        <v>342</v>
      </c>
      <c r="F50" s="10">
        <v>173</v>
      </c>
      <c r="G50" s="10">
        <v>238</v>
      </c>
    </row>
    <row r="51" spans="1:7" x14ac:dyDescent="0.2">
      <c r="A51" t="s">
        <v>89</v>
      </c>
      <c r="C51" s="10" t="s">
        <v>34</v>
      </c>
      <c r="D51" s="10" t="s">
        <v>34</v>
      </c>
      <c r="E51" s="10" t="s">
        <v>34</v>
      </c>
      <c r="F51" s="10" t="s">
        <v>34</v>
      </c>
      <c r="G51" s="10" t="s">
        <v>34</v>
      </c>
    </row>
    <row r="52" spans="1:7" x14ac:dyDescent="0.2">
      <c r="A52" s="8" t="s">
        <v>85</v>
      </c>
      <c r="C52" s="12">
        <v>1490</v>
      </c>
      <c r="D52" s="9">
        <v>60</v>
      </c>
      <c r="E52" s="9">
        <v>342</v>
      </c>
      <c r="F52" s="9">
        <v>173</v>
      </c>
      <c r="G52" s="9">
        <v>238</v>
      </c>
    </row>
    <row r="54" spans="1:7" x14ac:dyDescent="0.2">
      <c r="A54" s="8" t="s">
        <v>92</v>
      </c>
    </row>
    <row r="55" spans="1:7" x14ac:dyDescent="0.2">
      <c r="A55" t="s">
        <v>88</v>
      </c>
      <c r="C55" s="11">
        <v>12812</v>
      </c>
      <c r="D55" s="11">
        <v>36606</v>
      </c>
      <c r="E55" s="11">
        <v>30740</v>
      </c>
      <c r="F55" s="11">
        <v>41176</v>
      </c>
      <c r="G55" s="11">
        <v>44407</v>
      </c>
    </row>
    <row r="56" spans="1:7" x14ac:dyDescent="0.2">
      <c r="A56" t="s">
        <v>89</v>
      </c>
      <c r="C56" s="10">
        <v>61</v>
      </c>
      <c r="D56" s="10">
        <v>62</v>
      </c>
      <c r="E56" s="10">
        <v>70</v>
      </c>
      <c r="F56" s="10">
        <v>83</v>
      </c>
      <c r="G56" s="10">
        <v>72</v>
      </c>
    </row>
    <row r="57" spans="1:7" x14ac:dyDescent="0.2">
      <c r="A57" s="8" t="s">
        <v>86</v>
      </c>
      <c r="C57" s="12">
        <v>12873</v>
      </c>
      <c r="D57" s="12">
        <v>36668</v>
      </c>
      <c r="E57" s="12">
        <v>30810</v>
      </c>
      <c r="F57" s="12">
        <v>41259</v>
      </c>
      <c r="G57" s="12">
        <v>44479</v>
      </c>
    </row>
    <row r="59" spans="1:7" x14ac:dyDescent="0.2">
      <c r="A59" s="9" t="s">
        <v>93</v>
      </c>
    </row>
    <row r="60" spans="1:7" x14ac:dyDescent="0.2">
      <c r="A60" t="s">
        <v>94</v>
      </c>
      <c r="B60" t="s">
        <v>95</v>
      </c>
      <c r="C60" s="10">
        <v>4.28</v>
      </c>
      <c r="D60" s="10">
        <v>13.82</v>
      </c>
      <c r="E60" s="10">
        <v>11.5</v>
      </c>
      <c r="F60" s="10">
        <v>15.51</v>
      </c>
      <c r="G60" s="10">
        <v>16.71</v>
      </c>
    </row>
    <row r="61" spans="1:7" x14ac:dyDescent="0.2">
      <c r="A61" t="s">
        <v>96</v>
      </c>
      <c r="B61" t="s">
        <v>95</v>
      </c>
      <c r="C61" s="10">
        <v>4.28</v>
      </c>
      <c r="D61" s="10">
        <v>13.82</v>
      </c>
      <c r="E61" s="10">
        <v>11.5</v>
      </c>
      <c r="F61" s="10">
        <v>15.51</v>
      </c>
      <c r="G61" s="10">
        <v>16.71</v>
      </c>
    </row>
  </sheetData>
  <mergeCells count="2">
    <mergeCell ref="A1:G1"/>
    <mergeCell ref="A2:G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D7F8-9C80-7445-92D2-FCD1D41BF197}">
  <dimension ref="A1:W63"/>
  <sheetViews>
    <sheetView showGridLines="0" zoomScale="107" zoomScaleNormal="51" workbookViewId="0">
      <selection sqref="A1:G1"/>
    </sheetView>
  </sheetViews>
  <sheetFormatPr baseColWidth="10" defaultRowHeight="16" x14ac:dyDescent="0.2"/>
  <cols>
    <col min="1" max="1" width="59.5" bestFit="1" customWidth="1"/>
  </cols>
  <sheetData>
    <row r="1" spans="1:23" s="91" customFormat="1" ht="36" customHeight="1" x14ac:dyDescent="0.35">
      <c r="A1" s="260" t="s">
        <v>105</v>
      </c>
      <c r="B1" s="260"/>
      <c r="C1" s="260"/>
      <c r="D1" s="260"/>
      <c r="E1" s="260"/>
      <c r="F1" s="260"/>
      <c r="G1" s="260"/>
    </row>
    <row r="2" spans="1:23" s="91" customFormat="1" ht="18" customHeight="1" x14ac:dyDescent="0.25">
      <c r="A2" s="262" t="s">
        <v>277</v>
      </c>
      <c r="B2" s="262"/>
      <c r="C2" s="262"/>
      <c r="D2" s="262"/>
      <c r="E2" s="262"/>
      <c r="F2" s="262"/>
      <c r="G2" s="262"/>
    </row>
    <row r="3" spans="1:23" s="91" customFormat="1" ht="18" customHeight="1" x14ac:dyDescent="0.2">
      <c r="A3" s="92"/>
      <c r="C3"/>
      <c r="D3"/>
      <c r="E3"/>
      <c r="F3"/>
      <c r="G3"/>
      <c r="H3"/>
      <c r="I3"/>
      <c r="J3"/>
      <c r="K3"/>
      <c r="L3"/>
      <c r="M3"/>
      <c r="N3"/>
      <c r="O3"/>
      <c r="P3"/>
      <c r="Q3"/>
      <c r="R3"/>
      <c r="S3"/>
      <c r="T3"/>
      <c r="U3"/>
      <c r="V3"/>
      <c r="W3"/>
    </row>
    <row r="4" spans="1:23" s="91" customFormat="1" ht="18" customHeight="1" x14ac:dyDescent="0.2">
      <c r="A4" s="92"/>
      <c r="C4"/>
      <c r="D4"/>
      <c r="E4"/>
      <c r="F4"/>
      <c r="G4"/>
      <c r="H4"/>
      <c r="I4"/>
      <c r="J4"/>
      <c r="K4"/>
      <c r="L4"/>
      <c r="M4"/>
      <c r="N4"/>
      <c r="O4"/>
      <c r="P4"/>
      <c r="Q4"/>
      <c r="R4"/>
      <c r="S4"/>
      <c r="T4"/>
      <c r="U4"/>
      <c r="V4"/>
      <c r="W4"/>
    </row>
    <row r="5" spans="1:23" s="91" customFormat="1" ht="18" customHeight="1" x14ac:dyDescent="0.2">
      <c r="A5" s="92"/>
      <c r="C5"/>
      <c r="D5"/>
      <c r="E5"/>
      <c r="F5"/>
      <c r="G5"/>
      <c r="H5"/>
      <c r="I5"/>
      <c r="J5"/>
      <c r="K5"/>
      <c r="L5"/>
      <c r="M5"/>
      <c r="N5"/>
      <c r="O5"/>
      <c r="P5"/>
      <c r="Q5"/>
      <c r="R5"/>
      <c r="S5"/>
      <c r="T5"/>
      <c r="U5"/>
      <c r="V5"/>
      <c r="W5"/>
    </row>
    <row r="6" spans="1:23" s="91" customFormat="1" ht="18" customHeight="1" x14ac:dyDescent="0.2">
      <c r="A6" s="92"/>
      <c r="C6"/>
      <c r="D6"/>
      <c r="E6"/>
      <c r="F6"/>
      <c r="G6"/>
      <c r="H6"/>
      <c r="I6"/>
      <c r="J6"/>
      <c r="K6"/>
      <c r="L6"/>
      <c r="M6"/>
      <c r="N6"/>
      <c r="O6"/>
      <c r="P6"/>
      <c r="Q6"/>
      <c r="R6"/>
      <c r="S6"/>
      <c r="T6"/>
      <c r="U6"/>
      <c r="V6"/>
      <c r="W6"/>
    </row>
    <row r="12" spans="1:23" x14ac:dyDescent="0.2">
      <c r="A12" s="128" t="s">
        <v>0</v>
      </c>
      <c r="B12" s="128" t="s">
        <v>6</v>
      </c>
      <c r="C12" s="128" t="s">
        <v>5</v>
      </c>
      <c r="D12" s="128" t="s">
        <v>4</v>
      </c>
      <c r="E12" s="128" t="s">
        <v>3</v>
      </c>
      <c r="F12" s="128" t="s">
        <v>2</v>
      </c>
    </row>
    <row r="13" spans="1:23" x14ac:dyDescent="0.2">
      <c r="A13" s="56" t="s">
        <v>231</v>
      </c>
    </row>
    <row r="14" spans="1:23" x14ac:dyDescent="0.2">
      <c r="A14" s="56" t="s">
        <v>75</v>
      </c>
      <c r="B14">
        <v>16941</v>
      </c>
      <c r="C14">
        <v>49444</v>
      </c>
      <c r="D14">
        <v>41731</v>
      </c>
      <c r="E14">
        <v>55114</v>
      </c>
      <c r="F14">
        <v>60511</v>
      </c>
    </row>
    <row r="15" spans="1:23" x14ac:dyDescent="0.2">
      <c r="A15" t="s">
        <v>67</v>
      </c>
      <c r="B15">
        <v>23201</v>
      </c>
      <c r="C15">
        <v>21719</v>
      </c>
      <c r="D15">
        <v>21059</v>
      </c>
      <c r="E15">
        <v>21190</v>
      </c>
      <c r="F15">
        <v>23298</v>
      </c>
    </row>
    <row r="16" spans="1:23" x14ac:dyDescent="0.2">
      <c r="A16" t="s">
        <v>232</v>
      </c>
      <c r="B16">
        <v>28</v>
      </c>
      <c r="C16">
        <v>301</v>
      </c>
      <c r="D16">
        <v>0</v>
      </c>
      <c r="E16">
        <v>6</v>
      </c>
      <c r="F16">
        <v>0</v>
      </c>
    </row>
    <row r="17" spans="1:6" x14ac:dyDescent="0.2">
      <c r="A17" t="s">
        <v>233</v>
      </c>
      <c r="B17">
        <v>479</v>
      </c>
      <c r="C17">
        <v>1720</v>
      </c>
      <c r="D17">
        <v>818</v>
      </c>
      <c r="E17">
        <v>1274</v>
      </c>
      <c r="F17">
        <v>1099</v>
      </c>
    </row>
    <row r="18" spans="1:6" x14ac:dyDescent="0.2">
      <c r="A18" t="s">
        <v>234</v>
      </c>
      <c r="B18">
        <v>966</v>
      </c>
      <c r="C18">
        <v>620</v>
      </c>
      <c r="D18">
        <v>181</v>
      </c>
      <c r="E18">
        <v>358</v>
      </c>
      <c r="F18">
        <v>11</v>
      </c>
    </row>
    <row r="19" spans="1:6" x14ac:dyDescent="0.2">
      <c r="A19" t="s">
        <v>235</v>
      </c>
      <c r="B19">
        <v>-33</v>
      </c>
      <c r="C19">
        <v>48</v>
      </c>
      <c r="D19">
        <v>-148</v>
      </c>
      <c r="E19">
        <v>11</v>
      </c>
      <c r="F19">
        <v>61</v>
      </c>
    </row>
    <row r="20" spans="1:6" x14ac:dyDescent="0.2">
      <c r="A20" t="s">
        <v>236</v>
      </c>
      <c r="B20">
        <v>-4</v>
      </c>
      <c r="C20">
        <v>-8</v>
      </c>
      <c r="D20">
        <v>-135</v>
      </c>
      <c r="E20">
        <v>-37</v>
      </c>
      <c r="F20">
        <v>-4</v>
      </c>
    </row>
    <row r="21" spans="1:6" x14ac:dyDescent="0.2">
      <c r="A21" t="s">
        <v>237</v>
      </c>
      <c r="B21">
        <v>0</v>
      </c>
      <c r="C21">
        <v>-54</v>
      </c>
      <c r="D21">
        <v>0</v>
      </c>
      <c r="E21">
        <v>0</v>
      </c>
      <c r="F21">
        <v>0</v>
      </c>
    </row>
    <row r="22" spans="1:6" x14ac:dyDescent="0.2">
      <c r="A22" t="s">
        <v>238</v>
      </c>
      <c r="B22">
        <v>-205</v>
      </c>
      <c r="C22">
        <v>-479</v>
      </c>
      <c r="D22">
        <v>-297</v>
      </c>
      <c r="E22">
        <v>-730</v>
      </c>
      <c r="F22">
        <v>0</v>
      </c>
    </row>
    <row r="23" spans="1:6" x14ac:dyDescent="0.2">
      <c r="A23" t="s">
        <v>239</v>
      </c>
      <c r="B23">
        <v>-3380</v>
      </c>
      <c r="C23">
        <v>-217</v>
      </c>
      <c r="D23">
        <v>-4</v>
      </c>
      <c r="E23">
        <v>-50</v>
      </c>
      <c r="F23">
        <v>0</v>
      </c>
    </row>
    <row r="24" spans="1:6" x14ac:dyDescent="0.2">
      <c r="A24" t="s">
        <v>240</v>
      </c>
      <c r="B24">
        <v>4446</v>
      </c>
      <c r="C24">
        <v>0</v>
      </c>
      <c r="D24">
        <v>3312</v>
      </c>
      <c r="E24">
        <v>0</v>
      </c>
      <c r="F24">
        <v>0</v>
      </c>
    </row>
    <row r="25" spans="1:6" x14ac:dyDescent="0.2">
      <c r="A25" t="s">
        <v>241</v>
      </c>
      <c r="B25">
        <v>1776</v>
      </c>
      <c r="C25">
        <v>0</v>
      </c>
      <c r="D25">
        <v>0</v>
      </c>
      <c r="E25">
        <v>0</v>
      </c>
      <c r="F25">
        <v>0</v>
      </c>
    </row>
    <row r="26" spans="1:6" x14ac:dyDescent="0.2">
      <c r="A26" t="s">
        <v>242</v>
      </c>
      <c r="B26">
        <v>-5500</v>
      </c>
      <c r="C26">
        <v>0</v>
      </c>
      <c r="D26">
        <v>0</v>
      </c>
      <c r="E26">
        <v>0</v>
      </c>
      <c r="F26">
        <v>0</v>
      </c>
    </row>
    <row r="27" spans="1:6" x14ac:dyDescent="0.2">
      <c r="A27" t="s">
        <v>243</v>
      </c>
      <c r="B27">
        <v>2244</v>
      </c>
      <c r="C27">
        <v>1464</v>
      </c>
      <c r="D27">
        <v>443</v>
      </c>
      <c r="E27">
        <v>670</v>
      </c>
      <c r="F27">
        <v>1208</v>
      </c>
    </row>
    <row r="28" spans="1:6" x14ac:dyDescent="0.2">
      <c r="A28" t="s">
        <v>244</v>
      </c>
      <c r="B28">
        <v>-462</v>
      </c>
      <c r="C28">
        <v>-1528</v>
      </c>
      <c r="D28">
        <v>-3341</v>
      </c>
      <c r="E28">
        <v>-4535</v>
      </c>
      <c r="F28">
        <v>-1875</v>
      </c>
    </row>
    <row r="29" spans="1:6" x14ac:dyDescent="0.2">
      <c r="A29" s="17" t="s">
        <v>97</v>
      </c>
      <c r="B29" s="17">
        <v>40497</v>
      </c>
      <c r="C29" s="17">
        <v>73030</v>
      </c>
      <c r="D29" s="17">
        <v>63619</v>
      </c>
      <c r="E29" s="17">
        <v>73271</v>
      </c>
      <c r="F29" s="17">
        <v>84902</v>
      </c>
    </row>
    <row r="30" spans="1:6" x14ac:dyDescent="0.2">
      <c r="A30" t="s">
        <v>245</v>
      </c>
      <c r="B30">
        <v>-4275</v>
      </c>
      <c r="C30">
        <v>20087</v>
      </c>
      <c r="D30">
        <v>-49200</v>
      </c>
      <c r="E30">
        <v>5907</v>
      </c>
      <c r="F30">
        <v>-24769</v>
      </c>
    </row>
    <row r="31" spans="1:6" x14ac:dyDescent="0.2">
      <c r="A31" t="s">
        <v>246</v>
      </c>
      <c r="B31">
        <v>-1570</v>
      </c>
      <c r="C31">
        <v>12169</v>
      </c>
      <c r="D31">
        <v>-16132</v>
      </c>
      <c r="E31">
        <v>-91877</v>
      </c>
      <c r="F31">
        <v>-55855</v>
      </c>
    </row>
    <row r="32" spans="1:6" x14ac:dyDescent="0.2">
      <c r="A32" t="s">
        <v>247</v>
      </c>
      <c r="B32">
        <v>862</v>
      </c>
      <c r="C32">
        <v>-76</v>
      </c>
      <c r="D32">
        <v>300</v>
      </c>
      <c r="E32">
        <v>224</v>
      </c>
      <c r="F32">
        <v>-354</v>
      </c>
    </row>
    <row r="33" spans="1:6" x14ac:dyDescent="0.2">
      <c r="A33" t="s">
        <v>248</v>
      </c>
      <c r="B33">
        <v>9198</v>
      </c>
      <c r="C33">
        <v>-4574</v>
      </c>
      <c r="D33">
        <v>-27564</v>
      </c>
      <c r="E33">
        <v>-10314</v>
      </c>
      <c r="F33">
        <v>-3289</v>
      </c>
    </row>
    <row r="34" spans="1:6" x14ac:dyDescent="0.2">
      <c r="A34" t="s">
        <v>249</v>
      </c>
      <c r="B34">
        <v>7546</v>
      </c>
      <c r="C34">
        <v>1676</v>
      </c>
      <c r="D34">
        <v>8425</v>
      </c>
      <c r="E34">
        <v>22601</v>
      </c>
      <c r="F34">
        <v>19574</v>
      </c>
    </row>
    <row r="35" spans="1:6" x14ac:dyDescent="0.2">
      <c r="A35" t="s">
        <v>250</v>
      </c>
      <c r="B35">
        <v>4756</v>
      </c>
      <c r="C35">
        <v>6631</v>
      </c>
      <c r="D35">
        <v>21887</v>
      </c>
      <c r="E35">
        <v>5123</v>
      </c>
      <c r="F35">
        <v>10234</v>
      </c>
    </row>
    <row r="36" spans="1:6" x14ac:dyDescent="0.2">
      <c r="A36" t="s">
        <v>251</v>
      </c>
      <c r="B36">
        <v>13242</v>
      </c>
      <c r="C36">
        <v>-5974</v>
      </c>
      <c r="D36">
        <v>682</v>
      </c>
      <c r="E36">
        <v>15891</v>
      </c>
      <c r="F36">
        <v>12254</v>
      </c>
    </row>
    <row r="37" spans="1:6" x14ac:dyDescent="0.2">
      <c r="A37" s="17" t="s">
        <v>98</v>
      </c>
      <c r="B37">
        <v>70256</v>
      </c>
      <c r="C37">
        <v>102969</v>
      </c>
      <c r="D37">
        <v>2017</v>
      </c>
      <c r="E37">
        <v>20826</v>
      </c>
      <c r="F37">
        <v>42697</v>
      </c>
    </row>
    <row r="38" spans="1:6" x14ac:dyDescent="0.2">
      <c r="A38" t="s">
        <v>99</v>
      </c>
      <c r="B38">
        <v>-8228</v>
      </c>
      <c r="C38">
        <v>-13007</v>
      </c>
      <c r="D38">
        <v>-13974</v>
      </c>
      <c r="E38">
        <v>-13876</v>
      </c>
      <c r="F38">
        <v>-19192</v>
      </c>
    </row>
    <row r="39" spans="1:6" x14ac:dyDescent="0.2">
      <c r="A39" s="56" t="s">
        <v>252</v>
      </c>
      <c r="B39">
        <v>62028</v>
      </c>
      <c r="C39">
        <v>89962</v>
      </c>
      <c r="D39">
        <v>-11957</v>
      </c>
      <c r="E39">
        <v>6950</v>
      </c>
      <c r="F39">
        <v>23505</v>
      </c>
    </row>
    <row r="41" spans="1:6" x14ac:dyDescent="0.2">
      <c r="A41" s="17" t="s">
        <v>253</v>
      </c>
    </row>
    <row r="42" spans="1:6" x14ac:dyDescent="0.2">
      <c r="A42" t="s">
        <v>254</v>
      </c>
      <c r="B42">
        <v>-20066</v>
      </c>
      <c r="C42">
        <v>-17355</v>
      </c>
      <c r="D42">
        <v>-15628</v>
      </c>
      <c r="E42">
        <v>-19150</v>
      </c>
      <c r="F42">
        <v>-25830</v>
      </c>
    </row>
    <row r="43" spans="1:6" x14ac:dyDescent="0.2">
      <c r="A43" t="s">
        <v>255</v>
      </c>
      <c r="B43">
        <v>5091</v>
      </c>
      <c r="C43">
        <v>77</v>
      </c>
      <c r="D43">
        <v>198</v>
      </c>
      <c r="E43">
        <v>82</v>
      </c>
      <c r="F43">
        <v>14</v>
      </c>
    </row>
    <row r="44" spans="1:6" x14ac:dyDescent="0.2">
      <c r="A44" t="s">
        <v>256</v>
      </c>
      <c r="B44">
        <v>-579</v>
      </c>
      <c r="C44">
        <v>-300</v>
      </c>
      <c r="D44">
        <v>0</v>
      </c>
      <c r="E44">
        <v>-1</v>
      </c>
      <c r="F44">
        <v>0</v>
      </c>
    </row>
    <row r="45" spans="1:6" x14ac:dyDescent="0.2">
      <c r="A45" t="s">
        <v>257</v>
      </c>
      <c r="B45">
        <v>0</v>
      </c>
      <c r="C45">
        <v>125</v>
      </c>
      <c r="D45">
        <v>30</v>
      </c>
      <c r="E45">
        <v>9</v>
      </c>
      <c r="F45">
        <v>12</v>
      </c>
    </row>
    <row r="46" spans="1:6" x14ac:dyDescent="0.2">
      <c r="A46" t="s">
        <v>258</v>
      </c>
      <c r="B46">
        <v>-394</v>
      </c>
      <c r="C46">
        <v>-173</v>
      </c>
      <c r="D46">
        <v>-616</v>
      </c>
      <c r="E46">
        <v>-167</v>
      </c>
      <c r="F46">
        <v>-511</v>
      </c>
    </row>
    <row r="47" spans="1:6" x14ac:dyDescent="0.2">
      <c r="A47" t="s">
        <v>259</v>
      </c>
      <c r="B47">
        <v>335</v>
      </c>
      <c r="C47">
        <v>122</v>
      </c>
      <c r="D47">
        <v>581</v>
      </c>
      <c r="E47">
        <v>61</v>
      </c>
      <c r="F47">
        <v>633</v>
      </c>
    </row>
    <row r="48" spans="1:6" x14ac:dyDescent="0.2">
      <c r="A48" t="s">
        <v>260</v>
      </c>
      <c r="B48">
        <v>458</v>
      </c>
      <c r="C48">
        <v>1497</v>
      </c>
      <c r="D48">
        <v>3352</v>
      </c>
      <c r="E48">
        <v>4385</v>
      </c>
      <c r="F48">
        <v>1740</v>
      </c>
    </row>
    <row r="49" spans="1:6" x14ac:dyDescent="0.2">
      <c r="A49" s="56" t="s">
        <v>261</v>
      </c>
      <c r="B49">
        <v>-15155</v>
      </c>
      <c r="C49">
        <v>-16007</v>
      </c>
      <c r="D49">
        <v>-12083</v>
      </c>
      <c r="E49">
        <v>-14781</v>
      </c>
      <c r="F49">
        <v>-23942</v>
      </c>
    </row>
    <row r="51" spans="1:6" x14ac:dyDescent="0.2">
      <c r="A51" s="17" t="s">
        <v>262</v>
      </c>
    </row>
    <row r="52" spans="1:6" x14ac:dyDescent="0.2">
      <c r="A52" t="s">
        <v>263</v>
      </c>
      <c r="B52">
        <v>25000</v>
      </c>
      <c r="C52">
        <v>0</v>
      </c>
      <c r="D52">
        <v>0</v>
      </c>
      <c r="E52">
        <v>0</v>
      </c>
      <c r="F52">
        <v>0</v>
      </c>
    </row>
    <row r="53" spans="1:6" x14ac:dyDescent="0.2">
      <c r="A53" t="s">
        <v>264</v>
      </c>
      <c r="B53">
        <v>-7543</v>
      </c>
      <c r="C53">
        <v>-25000</v>
      </c>
      <c r="D53">
        <v>0</v>
      </c>
      <c r="E53">
        <v>0</v>
      </c>
      <c r="F53">
        <v>0</v>
      </c>
    </row>
    <row r="54" spans="1:6" x14ac:dyDescent="0.2">
      <c r="A54" t="s">
        <v>265</v>
      </c>
      <c r="B54">
        <v>-853</v>
      </c>
      <c r="C54">
        <v>-492</v>
      </c>
      <c r="D54">
        <v>-998</v>
      </c>
      <c r="E54">
        <v>-727</v>
      </c>
      <c r="F54">
        <v>-953</v>
      </c>
    </row>
    <row r="55" spans="1:6" x14ac:dyDescent="0.2">
      <c r="A55" t="s">
        <v>266</v>
      </c>
      <c r="B55">
        <v>-15998</v>
      </c>
      <c r="C55">
        <v>-17</v>
      </c>
      <c r="D55">
        <v>0</v>
      </c>
      <c r="E55">
        <v>7741</v>
      </c>
      <c r="F55">
        <v>49744</v>
      </c>
    </row>
    <row r="56" spans="1:6" x14ac:dyDescent="0.2">
      <c r="A56" t="s">
        <v>267</v>
      </c>
      <c r="B56">
        <v>-2813</v>
      </c>
      <c r="C56">
        <v>-1812</v>
      </c>
      <c r="D56">
        <v>-451</v>
      </c>
      <c r="E56">
        <v>598</v>
      </c>
      <c r="F56">
        <v>-614</v>
      </c>
    </row>
    <row r="57" spans="1:6" x14ac:dyDescent="0.2">
      <c r="A57" t="s">
        <v>268</v>
      </c>
      <c r="B57">
        <v>-6610</v>
      </c>
      <c r="C57">
        <v>-1344</v>
      </c>
      <c r="D57">
        <v>-27785</v>
      </c>
      <c r="E57">
        <v>-19852</v>
      </c>
      <c r="F57">
        <v>-26463</v>
      </c>
    </row>
    <row r="58" spans="1:6" x14ac:dyDescent="0.2">
      <c r="A58" t="s">
        <v>269</v>
      </c>
      <c r="B58">
        <v>0</v>
      </c>
      <c r="C58">
        <v>0</v>
      </c>
      <c r="D58">
        <v>0</v>
      </c>
      <c r="E58">
        <v>0</v>
      </c>
      <c r="F58">
        <v>0</v>
      </c>
    </row>
    <row r="59" spans="1:6" x14ac:dyDescent="0.2">
      <c r="A59" s="56" t="s">
        <v>270</v>
      </c>
      <c r="B59">
        <v>-8817</v>
      </c>
      <c r="C59">
        <v>-28665</v>
      </c>
      <c r="D59">
        <v>-29234</v>
      </c>
      <c r="E59">
        <v>-12240</v>
      </c>
      <c r="F59">
        <v>21714</v>
      </c>
    </row>
    <row r="61" spans="1:6" x14ac:dyDescent="0.2">
      <c r="A61" t="s">
        <v>271</v>
      </c>
      <c r="B61">
        <v>38041</v>
      </c>
      <c r="C61">
        <v>45290</v>
      </c>
      <c r="D61">
        <v>-53274</v>
      </c>
      <c r="E61">
        <v>-20071</v>
      </c>
      <c r="F61">
        <v>21277</v>
      </c>
    </row>
    <row r="62" spans="1:6" x14ac:dyDescent="0.2">
      <c r="A62" t="s">
        <v>100</v>
      </c>
      <c r="B62">
        <v>2899</v>
      </c>
      <c r="C62">
        <v>40970</v>
      </c>
      <c r="D62">
        <v>86260</v>
      </c>
      <c r="E62">
        <v>32986</v>
      </c>
      <c r="F62">
        <v>12915</v>
      </c>
    </row>
    <row r="63" spans="1:6" x14ac:dyDescent="0.2">
      <c r="A63" s="17" t="s">
        <v>101</v>
      </c>
      <c r="B63">
        <v>40940</v>
      </c>
      <c r="C63">
        <v>86260</v>
      </c>
      <c r="D63">
        <v>32986</v>
      </c>
      <c r="E63">
        <v>12915</v>
      </c>
      <c r="F63">
        <v>34192</v>
      </c>
    </row>
  </sheetData>
  <mergeCells count="2">
    <mergeCell ref="A1:G1"/>
    <mergeCell ref="A2:G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B858-8CB8-6E45-8AC9-D1E5553161B7}">
  <dimension ref="A1:V115"/>
  <sheetViews>
    <sheetView showGridLines="0" zoomScale="75" zoomScaleNormal="34" workbookViewId="0">
      <pane xSplit="7" ySplit="7" topLeftCell="H8" activePane="bottomRight" state="frozen"/>
      <selection pane="topRight" activeCell="H1" sqref="H1"/>
      <selection pane="bottomLeft" activeCell="A8" sqref="A8"/>
      <selection pane="bottomRight" activeCell="C110" sqref="C110"/>
    </sheetView>
  </sheetViews>
  <sheetFormatPr baseColWidth="10" defaultColWidth="8.83203125" defaultRowHeight="15" x14ac:dyDescent="0.2"/>
  <cols>
    <col min="1" max="1" width="49.83203125" style="91" customWidth="1"/>
    <col min="2" max="2" width="20" style="91" customWidth="1"/>
    <col min="3" max="3" width="28.83203125" style="91" customWidth="1"/>
    <col min="4" max="7" width="3" style="91" customWidth="1"/>
    <col min="8" max="22" width="14" style="91" customWidth="1"/>
    <col min="23" max="16384" width="8.83203125" style="91"/>
  </cols>
  <sheetData>
    <row r="1" spans="1:22" ht="36" customHeight="1" x14ac:dyDescent="0.35">
      <c r="A1" s="264" t="s">
        <v>105</v>
      </c>
      <c r="B1" s="264"/>
    </row>
    <row r="2" spans="1:22" ht="18" customHeight="1" x14ac:dyDescent="0.25">
      <c r="A2" s="265" t="s">
        <v>160</v>
      </c>
      <c r="B2" s="265"/>
    </row>
    <row r="3" spans="1:22" ht="18" customHeight="1" x14ac:dyDescent="0.2">
      <c r="A3" s="92"/>
      <c r="C3" s="93" t="s">
        <v>106</v>
      </c>
      <c r="D3" s="94"/>
      <c r="E3" s="94"/>
      <c r="F3" s="94"/>
      <c r="G3" s="94"/>
      <c r="H3" s="95">
        <v>43922</v>
      </c>
      <c r="I3" s="95">
        <v>44287</v>
      </c>
      <c r="J3" s="95">
        <v>44652</v>
      </c>
      <c r="K3" s="95">
        <v>45017</v>
      </c>
      <c r="L3" s="95">
        <v>45383</v>
      </c>
      <c r="M3" s="95">
        <v>45748</v>
      </c>
      <c r="N3" s="95">
        <v>46113</v>
      </c>
      <c r="O3" s="95">
        <v>46478</v>
      </c>
      <c r="P3" s="95">
        <v>46844</v>
      </c>
      <c r="Q3" s="95">
        <v>47209</v>
      </c>
      <c r="R3" s="95">
        <v>47574</v>
      </c>
      <c r="S3" s="95">
        <v>47939</v>
      </c>
      <c r="T3" s="95">
        <v>48305</v>
      </c>
      <c r="U3" s="95">
        <v>48670</v>
      </c>
      <c r="V3" s="95">
        <v>49035</v>
      </c>
    </row>
    <row r="4" spans="1:22" ht="18" customHeight="1" x14ac:dyDescent="0.2">
      <c r="A4" s="92"/>
      <c r="C4" s="93" t="s">
        <v>107</v>
      </c>
      <c r="D4" s="94"/>
      <c r="E4" s="94"/>
      <c r="F4" s="94"/>
      <c r="G4" s="94"/>
      <c r="H4" s="95">
        <v>44286</v>
      </c>
      <c r="I4" s="95">
        <v>44651</v>
      </c>
      <c r="J4" s="95">
        <v>45016</v>
      </c>
      <c r="K4" s="95">
        <v>45382</v>
      </c>
      <c r="L4" s="95">
        <v>45747</v>
      </c>
      <c r="M4" s="95">
        <v>46112</v>
      </c>
      <c r="N4" s="95">
        <v>46477</v>
      </c>
      <c r="O4" s="95">
        <v>46843</v>
      </c>
      <c r="P4" s="95">
        <v>47208</v>
      </c>
      <c r="Q4" s="95">
        <v>47573</v>
      </c>
      <c r="R4" s="95">
        <v>47938</v>
      </c>
      <c r="S4" s="95">
        <v>48304</v>
      </c>
      <c r="T4" s="95">
        <v>48669</v>
      </c>
      <c r="U4" s="95">
        <v>49034</v>
      </c>
      <c r="V4" s="95">
        <v>49399</v>
      </c>
    </row>
    <row r="5" spans="1:22" ht="18" customHeight="1" x14ac:dyDescent="0.2">
      <c r="A5" s="92"/>
      <c r="C5" s="93" t="s">
        <v>108</v>
      </c>
      <c r="D5" s="94"/>
      <c r="E5" s="94"/>
      <c r="F5" s="94"/>
      <c r="G5" s="94"/>
      <c r="H5" s="96" t="s">
        <v>109</v>
      </c>
      <c r="I5" s="96" t="s">
        <v>109</v>
      </c>
      <c r="J5" s="96" t="s">
        <v>109</v>
      </c>
      <c r="K5" s="96" t="s">
        <v>109</v>
      </c>
      <c r="L5" s="96" t="s">
        <v>109</v>
      </c>
      <c r="M5" s="96" t="s">
        <v>103</v>
      </c>
      <c r="N5" s="96" t="s">
        <v>103</v>
      </c>
      <c r="O5" s="96" t="s">
        <v>103</v>
      </c>
      <c r="P5" s="96" t="s">
        <v>103</v>
      </c>
      <c r="Q5" s="96" t="s">
        <v>103</v>
      </c>
      <c r="R5" s="96" t="s">
        <v>103</v>
      </c>
      <c r="S5" s="96" t="s">
        <v>103</v>
      </c>
      <c r="T5" s="96" t="s">
        <v>103</v>
      </c>
      <c r="U5" s="96" t="s">
        <v>103</v>
      </c>
      <c r="V5" s="96" t="s">
        <v>103</v>
      </c>
    </row>
    <row r="6" spans="1:22" ht="18" customHeight="1" x14ac:dyDescent="0.2">
      <c r="A6" s="92"/>
      <c r="C6" s="93" t="s">
        <v>138</v>
      </c>
      <c r="D6" s="94"/>
      <c r="E6" s="94"/>
      <c r="F6" s="94"/>
      <c r="G6" s="94"/>
      <c r="H6" s="96">
        <f>H4-H3+1</f>
        <v>365</v>
      </c>
      <c r="I6" s="96">
        <f t="shared" ref="I6:V6" si="0">I4-I3+1</f>
        <v>365</v>
      </c>
      <c r="J6" s="96">
        <f t="shared" si="0"/>
        <v>365</v>
      </c>
      <c r="K6" s="96">
        <f t="shared" si="0"/>
        <v>366</v>
      </c>
      <c r="L6" s="96">
        <f t="shared" si="0"/>
        <v>365</v>
      </c>
      <c r="M6" s="96">
        <f t="shared" si="0"/>
        <v>365</v>
      </c>
      <c r="N6" s="96">
        <f t="shared" si="0"/>
        <v>365</v>
      </c>
      <c r="O6" s="96">
        <f t="shared" si="0"/>
        <v>366</v>
      </c>
      <c r="P6" s="96">
        <f t="shared" si="0"/>
        <v>365</v>
      </c>
      <c r="Q6" s="96">
        <f t="shared" si="0"/>
        <v>365</v>
      </c>
      <c r="R6" s="96">
        <f t="shared" si="0"/>
        <v>365</v>
      </c>
      <c r="S6" s="96">
        <f t="shared" si="0"/>
        <v>366</v>
      </c>
      <c r="T6" s="96">
        <f t="shared" si="0"/>
        <v>365</v>
      </c>
      <c r="U6" s="96">
        <f t="shared" si="0"/>
        <v>365</v>
      </c>
      <c r="V6" s="96">
        <f t="shared" si="0"/>
        <v>365</v>
      </c>
    </row>
    <row r="7" spans="1:22" ht="18" customHeight="1" x14ac:dyDescent="0.2"/>
    <row r="8" spans="1:22" ht="21" customHeight="1" x14ac:dyDescent="0.2">
      <c r="A8" s="97" t="s">
        <v>110</v>
      </c>
      <c r="B8" s="98"/>
      <c r="C8" s="98"/>
      <c r="D8" s="98"/>
      <c r="E8" s="98"/>
      <c r="F8" s="98"/>
      <c r="G8" s="98"/>
      <c r="H8" s="98"/>
      <c r="I8" s="98"/>
      <c r="J8" s="98"/>
      <c r="K8" s="98"/>
      <c r="L8" s="98"/>
      <c r="M8" s="98"/>
      <c r="N8" s="98"/>
      <c r="O8" s="98"/>
      <c r="P8" s="98"/>
      <c r="Q8" s="98"/>
      <c r="R8" s="98"/>
      <c r="S8" s="98"/>
      <c r="T8" s="98"/>
      <c r="U8" s="98"/>
      <c r="V8" s="98"/>
    </row>
    <row r="9" spans="1:22" ht="18" customHeight="1" x14ac:dyDescent="0.2"/>
    <row r="10" spans="1:22" ht="18" customHeight="1" x14ac:dyDescent="0.2">
      <c r="A10" s="99" t="s">
        <v>111</v>
      </c>
      <c r="B10" s="100" t="s">
        <v>112</v>
      </c>
      <c r="C10" s="101" t="s">
        <v>197</v>
      </c>
    </row>
    <row r="11" spans="1:22" ht="18" customHeight="1" x14ac:dyDescent="0.2">
      <c r="A11" s="99" t="s">
        <v>113</v>
      </c>
      <c r="B11" s="100" t="s">
        <v>114</v>
      </c>
      <c r="C11" s="101">
        <v>12</v>
      </c>
    </row>
    <row r="12" spans="1:22" ht="18" customHeight="1" x14ac:dyDescent="0.2">
      <c r="A12" s="99" t="s">
        <v>115</v>
      </c>
      <c r="B12" s="100" t="s">
        <v>112</v>
      </c>
      <c r="C12" s="101" t="s">
        <v>198</v>
      </c>
    </row>
    <row r="13" spans="1:22" ht="18" customHeight="1" x14ac:dyDescent="0.2">
      <c r="A13" s="99" t="s">
        <v>116</v>
      </c>
      <c r="B13" s="100" t="s">
        <v>114</v>
      </c>
      <c r="C13" s="101">
        <v>10</v>
      </c>
    </row>
    <row r="14" spans="1:22" ht="18" customHeight="1" x14ac:dyDescent="0.2"/>
    <row r="15" spans="1:22" ht="18" customHeight="1" x14ac:dyDescent="0.2"/>
    <row r="16" spans="1:22" ht="21" customHeight="1" x14ac:dyDescent="0.2">
      <c r="A16" s="97" t="s">
        <v>102</v>
      </c>
      <c r="B16" s="98"/>
      <c r="C16" s="98"/>
      <c r="D16" s="98"/>
      <c r="E16" s="98"/>
      <c r="F16" s="98"/>
      <c r="G16" s="98"/>
      <c r="H16" s="98"/>
      <c r="I16" s="98"/>
      <c r="J16" s="98"/>
      <c r="K16" s="98"/>
      <c r="L16" s="98"/>
      <c r="M16" s="98"/>
      <c r="N16" s="98"/>
      <c r="O16" s="98"/>
      <c r="P16" s="98"/>
      <c r="Q16" s="98"/>
      <c r="R16" s="98"/>
      <c r="S16" s="98"/>
      <c r="T16" s="98"/>
      <c r="U16" s="98"/>
      <c r="V16" s="98"/>
    </row>
    <row r="17" spans="1:22" ht="18" customHeight="1" x14ac:dyDescent="0.2">
      <c r="A17" s="102" t="s">
        <v>117</v>
      </c>
    </row>
    <row r="18" spans="1:22" ht="18" customHeight="1" x14ac:dyDescent="0.2">
      <c r="A18" s="99" t="s">
        <v>117</v>
      </c>
      <c r="B18" s="100" t="s">
        <v>118</v>
      </c>
      <c r="C18" s="266" t="s">
        <v>229</v>
      </c>
      <c r="D18" s="266"/>
      <c r="E18" s="266"/>
      <c r="F18" s="266"/>
      <c r="G18" s="266"/>
      <c r="H18" s="52">
        <f>'Income Statement-Historic'!C12</f>
        <v>1018576</v>
      </c>
      <c r="I18" s="52">
        <f>'Income Statement-Historic'!D12</f>
        <v>1312392</v>
      </c>
      <c r="J18" s="52">
        <f>'Income Statement-Historic'!E12</f>
        <v>1665109</v>
      </c>
      <c r="K18" s="52">
        <f>'Income Statement-Historic'!F12</f>
        <v>1837953</v>
      </c>
      <c r="L18" s="52">
        <f>'Income Statement-Historic'!G12</f>
        <v>1940854</v>
      </c>
      <c r="M18" s="104"/>
      <c r="N18" s="104"/>
      <c r="O18" s="104"/>
      <c r="P18" s="104"/>
      <c r="Q18" s="104"/>
      <c r="R18" s="104"/>
      <c r="S18" s="104"/>
      <c r="T18" s="104"/>
      <c r="U18" s="104"/>
      <c r="V18" s="104"/>
    </row>
    <row r="19" spans="1:22" ht="18" customHeight="1" x14ac:dyDescent="0.2">
      <c r="A19" s="99" t="s">
        <v>119</v>
      </c>
      <c r="B19" s="100" t="s">
        <v>120</v>
      </c>
      <c r="C19" s="266"/>
      <c r="D19" s="266"/>
      <c r="E19" s="266"/>
      <c r="F19" s="266"/>
      <c r="G19" s="266"/>
      <c r="H19" s="105"/>
      <c r="I19" s="116">
        <f>IFERROR(I18/H18-1,"")</f>
        <v>0.28845761141043957</v>
      </c>
      <c r="J19" s="116">
        <f>IFERROR(J18/I18-1,"")</f>
        <v>0.26875887692091993</v>
      </c>
      <c r="K19" s="116">
        <f>IFERROR(K18/J18-1,"")</f>
        <v>0.10380341467135179</v>
      </c>
      <c r="L19" s="116">
        <f>IFERROR(L18/K18-1,"")</f>
        <v>5.5986741771960391E-2</v>
      </c>
      <c r="M19" s="32">
        <v>7.0000000000000007E-2</v>
      </c>
      <c r="N19" s="32">
        <v>7.0000000000000007E-2</v>
      </c>
      <c r="O19" s="32">
        <v>6.5000000000000002E-2</v>
      </c>
      <c r="P19" s="32">
        <v>6.5000000000000002E-2</v>
      </c>
      <c r="Q19" s="32">
        <v>0.06</v>
      </c>
      <c r="R19" s="32">
        <v>0.06</v>
      </c>
      <c r="S19" s="32">
        <v>5.5E-2</v>
      </c>
      <c r="T19" s="32">
        <v>5.5E-2</v>
      </c>
      <c r="U19" s="32">
        <v>0.05</v>
      </c>
      <c r="V19" s="32">
        <v>0.05</v>
      </c>
    </row>
    <row r="20" spans="1:22" ht="18" customHeight="1" x14ac:dyDescent="0.2">
      <c r="C20" s="266"/>
      <c r="D20" s="266"/>
      <c r="E20" s="266"/>
      <c r="F20" s="266"/>
      <c r="G20" s="266"/>
      <c r="M20" s="117"/>
    </row>
    <row r="21" spans="1:22" ht="18" customHeight="1" x14ac:dyDescent="0.2">
      <c r="A21" s="99" t="s">
        <v>199</v>
      </c>
      <c r="B21" s="100" t="s">
        <v>118</v>
      </c>
      <c r="H21" s="103">
        <f>'Income Statement-Historic'!C13</f>
        <v>5025</v>
      </c>
      <c r="I21" s="103">
        <f>'Income Statement-Historic'!D13</f>
        <v>2979</v>
      </c>
      <c r="J21" s="103">
        <f>'Income Statement-Historic'!E13</f>
        <v>4943</v>
      </c>
      <c r="K21" s="103">
        <f>'Income Statement-Historic'!F13</f>
        <v>7374</v>
      </c>
      <c r="L21" s="103">
        <f>'Income Statement-Historic'!G13</f>
        <v>3590</v>
      </c>
      <c r="M21" s="104"/>
      <c r="N21" s="104"/>
      <c r="O21" s="104"/>
      <c r="P21" s="104"/>
      <c r="Q21" s="104"/>
      <c r="R21" s="104"/>
      <c r="S21" s="104"/>
      <c r="T21" s="104"/>
      <c r="U21" s="104"/>
      <c r="V21" s="104"/>
    </row>
    <row r="22" spans="1:22" ht="18" customHeight="1" x14ac:dyDescent="0.2">
      <c r="A22" s="99" t="s">
        <v>104</v>
      </c>
      <c r="B22" s="100" t="s">
        <v>120</v>
      </c>
      <c r="H22" s="116">
        <f>H21/H18</f>
        <v>4.9333579428535524E-3</v>
      </c>
      <c r="I22" s="116">
        <f t="shared" ref="I22:L22" si="1">I21/I18</f>
        <v>2.2699010661448712E-3</v>
      </c>
      <c r="J22" s="116">
        <f t="shared" si="1"/>
        <v>2.9685744296619621E-3</v>
      </c>
      <c r="K22" s="116">
        <f t="shared" si="1"/>
        <v>4.0120721258922291E-3</v>
      </c>
      <c r="L22" s="116">
        <f t="shared" si="1"/>
        <v>1.8497012140016715E-3</v>
      </c>
      <c r="M22" s="106">
        <f>AVERAGE(H22:L22)</f>
        <v>3.2067213557108571E-3</v>
      </c>
      <c r="N22" s="106">
        <f>M22</f>
        <v>3.2067213557108571E-3</v>
      </c>
      <c r="O22" s="106">
        <f t="shared" ref="O22:V22" si="2">N22</f>
        <v>3.2067213557108571E-3</v>
      </c>
      <c r="P22" s="106">
        <f t="shared" si="2"/>
        <v>3.2067213557108571E-3</v>
      </c>
      <c r="Q22" s="106">
        <f t="shared" si="2"/>
        <v>3.2067213557108571E-3</v>
      </c>
      <c r="R22" s="106">
        <f t="shared" si="2"/>
        <v>3.2067213557108571E-3</v>
      </c>
      <c r="S22" s="106">
        <f t="shared" si="2"/>
        <v>3.2067213557108571E-3</v>
      </c>
      <c r="T22" s="106">
        <f t="shared" si="2"/>
        <v>3.2067213557108571E-3</v>
      </c>
      <c r="U22" s="106">
        <f t="shared" si="2"/>
        <v>3.2067213557108571E-3</v>
      </c>
      <c r="V22" s="106">
        <f t="shared" si="2"/>
        <v>3.2067213557108571E-3</v>
      </c>
    </row>
    <row r="23" spans="1:22" ht="18" customHeight="1" x14ac:dyDescent="0.2"/>
    <row r="24" spans="1:22" ht="18" customHeight="1" x14ac:dyDescent="0.2"/>
    <row r="25" spans="1:22" ht="21" customHeight="1" x14ac:dyDescent="0.2">
      <c r="A25" s="97" t="s">
        <v>121</v>
      </c>
      <c r="B25" s="98"/>
      <c r="C25" s="98"/>
      <c r="D25" s="98"/>
      <c r="E25" s="98"/>
      <c r="F25" s="98"/>
      <c r="G25" s="98"/>
      <c r="H25" s="98"/>
      <c r="I25" s="98"/>
      <c r="J25" s="98"/>
      <c r="K25" s="98"/>
      <c r="L25" s="98"/>
      <c r="M25" s="98"/>
      <c r="N25" s="98"/>
      <c r="O25" s="98"/>
      <c r="P25" s="98"/>
      <c r="Q25" s="98"/>
      <c r="R25" s="98"/>
      <c r="S25" s="98"/>
      <c r="T25" s="98"/>
      <c r="U25" s="98"/>
      <c r="V25" s="98"/>
    </row>
    <row r="26" spans="1:22" ht="18" customHeight="1" x14ac:dyDescent="0.2">
      <c r="A26" s="102" t="s">
        <v>122</v>
      </c>
    </row>
    <row r="27" spans="1:22" ht="18" customHeight="1" x14ac:dyDescent="0.2">
      <c r="A27" s="99" t="s">
        <v>200</v>
      </c>
      <c r="B27" s="100" t="s">
        <v>118</v>
      </c>
      <c r="H27" s="103">
        <f>'Income Statement-Historic'!C17</f>
        <v>196516</v>
      </c>
      <c r="I27" s="103">
        <f>'Income Statement-Historic'!D17</f>
        <v>270729</v>
      </c>
      <c r="J27" s="103">
        <f>'Income Statement-Historic'!E17</f>
        <v>422476</v>
      </c>
      <c r="K27" s="103">
        <f>'Income Statement-Historic'!F17</f>
        <v>456755</v>
      </c>
      <c r="L27" s="103">
        <f>'Income Statement-Historic'!G17</f>
        <v>493673</v>
      </c>
      <c r="M27" s="104"/>
      <c r="N27" s="104"/>
      <c r="O27" s="104"/>
      <c r="P27" s="104"/>
      <c r="Q27" s="104"/>
      <c r="R27" s="104"/>
      <c r="S27" s="104"/>
      <c r="T27" s="104"/>
      <c r="U27" s="104"/>
      <c r="V27" s="104"/>
    </row>
    <row r="28" spans="1:22" ht="18" customHeight="1" x14ac:dyDescent="0.2">
      <c r="A28" s="99" t="s">
        <v>201</v>
      </c>
      <c r="B28" s="100" t="s">
        <v>120</v>
      </c>
      <c r="H28" s="116">
        <f>H27/H18</f>
        <v>0.19293209343239975</v>
      </c>
      <c r="I28" s="116">
        <f t="shared" ref="I28:L28" si="3">I27/I18</f>
        <v>0.20628668873324432</v>
      </c>
      <c r="J28" s="116">
        <f t="shared" si="3"/>
        <v>0.25372272926276901</v>
      </c>
      <c r="K28" s="116">
        <f t="shared" si="3"/>
        <v>0.24851288362651275</v>
      </c>
      <c r="L28" s="116">
        <f t="shared" si="3"/>
        <v>0.25435864830636412</v>
      </c>
      <c r="M28" s="106">
        <f>'Working '!M26</f>
        <v>0.23116260867225796</v>
      </c>
      <c r="N28" s="106">
        <f>'Working '!N26</f>
        <v>0.22653935649881279</v>
      </c>
      <c r="O28" s="106">
        <f>'Working '!O26</f>
        <v>0.21521238867387216</v>
      </c>
      <c r="P28" s="106">
        <f>'Working '!P26</f>
        <v>0.20660389312691727</v>
      </c>
      <c r="Q28" s="106">
        <f>'Working '!Q26</f>
        <v>0.19833973740184058</v>
      </c>
      <c r="R28" s="106">
        <f>'Working '!R26</f>
        <v>0.19040614790576696</v>
      </c>
      <c r="S28" s="106">
        <f>'Working '!S26</f>
        <v>0.19040614790576696</v>
      </c>
      <c r="T28" s="106">
        <f>'Working '!T26</f>
        <v>0.19040614790576696</v>
      </c>
      <c r="U28" s="106">
        <f>'Working '!U26</f>
        <v>0.19040614790576696</v>
      </c>
      <c r="V28" s="106">
        <f>'Working '!V26</f>
        <v>0.19040614790576696</v>
      </c>
    </row>
    <row r="29" spans="1:22" ht="18" customHeight="1" x14ac:dyDescent="0.2"/>
    <row r="30" spans="1:22" ht="18" customHeight="1" x14ac:dyDescent="0.2">
      <c r="A30" s="99" t="s">
        <v>202</v>
      </c>
      <c r="B30" s="100" t="s">
        <v>118</v>
      </c>
      <c r="H30" s="103">
        <f>'Income Statement-Historic'!C18</f>
        <v>7371</v>
      </c>
      <c r="I30" s="103">
        <f>'Income Statement-Historic'!D18</f>
        <v>19582</v>
      </c>
      <c r="J30" s="103">
        <f>'Income Statement-Historic'!E18</f>
        <v>9247</v>
      </c>
      <c r="K30" s="103">
        <f>'Income Statement-Historic'!F18</f>
        <v>11825</v>
      </c>
      <c r="L30" s="103">
        <f>'Income Statement-Historic'!G18</f>
        <v>18174</v>
      </c>
      <c r="M30" s="104"/>
      <c r="N30" s="104"/>
      <c r="O30" s="104"/>
      <c r="P30" s="104"/>
      <c r="Q30" s="104"/>
      <c r="R30" s="104"/>
      <c r="S30" s="104"/>
      <c r="T30" s="104"/>
      <c r="U30" s="104"/>
      <c r="V30" s="104"/>
    </row>
    <row r="31" spans="1:22" ht="18" customHeight="1" x14ac:dyDescent="0.2">
      <c r="A31" s="99" t="s">
        <v>203</v>
      </c>
      <c r="B31" s="100" t="s">
        <v>120</v>
      </c>
      <c r="H31" s="116">
        <f>H30/H18</f>
        <v>7.2365734122932408E-3</v>
      </c>
      <c r="I31" s="116">
        <f t="shared" ref="I31:L31" si="4">I30/I18</f>
        <v>1.4920846820157391E-2</v>
      </c>
      <c r="J31" s="116">
        <f t="shared" si="4"/>
        <v>5.5533901984794985E-3</v>
      </c>
      <c r="K31" s="116">
        <f t="shared" si="4"/>
        <v>6.4337880239592636E-3</v>
      </c>
      <c r="L31" s="116">
        <f t="shared" si="4"/>
        <v>9.3639191819683502E-3</v>
      </c>
      <c r="M31" s="106">
        <f>AVERAGE(H31:L31)</f>
        <v>8.7017035273715491E-3</v>
      </c>
      <c r="N31" s="106">
        <f>M31</f>
        <v>8.7017035273715491E-3</v>
      </c>
      <c r="O31" s="106">
        <f t="shared" ref="O31:V31" si="5">N31</f>
        <v>8.7017035273715491E-3</v>
      </c>
      <c r="P31" s="106">
        <f t="shared" si="5"/>
        <v>8.7017035273715491E-3</v>
      </c>
      <c r="Q31" s="106">
        <f t="shared" si="5"/>
        <v>8.7017035273715491E-3</v>
      </c>
      <c r="R31" s="106">
        <f t="shared" si="5"/>
        <v>8.7017035273715491E-3</v>
      </c>
      <c r="S31" s="106">
        <f t="shared" si="5"/>
        <v>8.7017035273715491E-3</v>
      </c>
      <c r="T31" s="106">
        <f t="shared" si="5"/>
        <v>8.7017035273715491E-3</v>
      </c>
      <c r="U31" s="106">
        <f t="shared" si="5"/>
        <v>8.7017035273715491E-3</v>
      </c>
      <c r="V31" s="106">
        <f t="shared" si="5"/>
        <v>8.7017035273715491E-3</v>
      </c>
    </row>
    <row r="32" spans="1:22" ht="18" customHeight="1" x14ac:dyDescent="0.2"/>
    <row r="33" spans="1:22" ht="18" customHeight="1" x14ac:dyDescent="0.2">
      <c r="A33" s="99" t="s">
        <v>204</v>
      </c>
      <c r="B33" s="100" t="s">
        <v>118</v>
      </c>
      <c r="H33" s="103">
        <f>'Income Statement-Historic'!C19</f>
        <v>-950</v>
      </c>
      <c r="I33" s="103">
        <f>'Income Statement-Historic'!D19</f>
        <v>2301</v>
      </c>
      <c r="J33" s="103">
        <f>'Income Statement-Historic'!E19</f>
        <v>-5187</v>
      </c>
      <c r="K33" s="103">
        <f>'Income Statement-Historic'!F19</f>
        <v>-3345</v>
      </c>
      <c r="L33" s="103">
        <f>'Income Statement-Historic'!G19</f>
        <v>-4996</v>
      </c>
      <c r="M33" s="104"/>
      <c r="N33" s="104"/>
      <c r="O33" s="104"/>
      <c r="P33" s="104"/>
      <c r="Q33" s="104"/>
      <c r="R33" s="104"/>
      <c r="S33" s="104"/>
      <c r="T33" s="104"/>
      <c r="U33" s="104"/>
      <c r="V33" s="104"/>
    </row>
    <row r="34" spans="1:22" ht="18" customHeight="1" x14ac:dyDescent="0.2">
      <c r="A34" s="99" t="s">
        <v>205</v>
      </c>
      <c r="B34" s="100" t="s">
        <v>120</v>
      </c>
      <c r="H34" s="116">
        <f>H33/H18</f>
        <v>-9.3267463596236316E-4</v>
      </c>
      <c r="I34" s="116">
        <f t="shared" ref="I34:L34" si="6">I33/I18</f>
        <v>1.7532871276265019E-3</v>
      </c>
      <c r="J34" s="116">
        <f t="shared" si="6"/>
        <v>-3.1151113830986438E-3</v>
      </c>
      <c r="K34" s="116">
        <f t="shared" si="6"/>
        <v>-1.8199594875385823E-3</v>
      </c>
      <c r="L34" s="116">
        <f t="shared" si="6"/>
        <v>-2.5741245863934122E-3</v>
      </c>
      <c r="M34" s="106">
        <f>AVERAGE(H34:L34)</f>
        <v>-1.3377165930732998E-3</v>
      </c>
      <c r="N34" s="106">
        <f>M34</f>
        <v>-1.3377165930732998E-3</v>
      </c>
      <c r="O34" s="106">
        <f t="shared" ref="O34:V34" si="7">N34</f>
        <v>-1.3377165930732998E-3</v>
      </c>
      <c r="P34" s="106">
        <f t="shared" si="7"/>
        <v>-1.3377165930732998E-3</v>
      </c>
      <c r="Q34" s="106">
        <f t="shared" si="7"/>
        <v>-1.3377165930732998E-3</v>
      </c>
      <c r="R34" s="106">
        <f t="shared" si="7"/>
        <v>-1.3377165930732998E-3</v>
      </c>
      <c r="S34" s="106">
        <f t="shared" si="7"/>
        <v>-1.3377165930732998E-3</v>
      </c>
      <c r="T34" s="106">
        <f t="shared" si="7"/>
        <v>-1.3377165930732998E-3</v>
      </c>
      <c r="U34" s="106">
        <f t="shared" si="7"/>
        <v>-1.3377165930732998E-3</v>
      </c>
      <c r="V34" s="106">
        <f t="shared" si="7"/>
        <v>-1.3377165930732998E-3</v>
      </c>
    </row>
    <row r="35" spans="1:22" ht="18" customHeight="1" x14ac:dyDescent="0.2"/>
    <row r="36" spans="1:22" ht="18" customHeight="1" x14ac:dyDescent="0.2">
      <c r="A36" s="99" t="s">
        <v>206</v>
      </c>
      <c r="B36" s="100" t="s">
        <v>118</v>
      </c>
      <c r="H36" s="103">
        <f>'Income Statement-Historic'!C20</f>
        <v>594267</v>
      </c>
      <c r="I36" s="103">
        <f>'Income Statement-Historic'!D20</f>
        <v>728548</v>
      </c>
      <c r="J36" s="103">
        <f>'Income Statement-Historic'!E20</f>
        <v>915117</v>
      </c>
      <c r="K36" s="103">
        <f>'Income Statement-Historic'!F20</f>
        <v>1025685</v>
      </c>
      <c r="L36" s="103">
        <f>'Income Statement-Historic'!G20</f>
        <v>1049345</v>
      </c>
      <c r="M36" s="104"/>
      <c r="N36" s="104"/>
      <c r="O36" s="104"/>
      <c r="P36" s="104"/>
      <c r="Q36" s="104"/>
      <c r="R36" s="104"/>
      <c r="S36" s="104"/>
      <c r="T36" s="104"/>
      <c r="U36" s="104"/>
      <c r="V36" s="104"/>
    </row>
    <row r="37" spans="1:22" ht="18" customHeight="1" x14ac:dyDescent="0.2">
      <c r="A37" s="99" t="s">
        <v>207</v>
      </c>
      <c r="B37" s="100" t="s">
        <v>120</v>
      </c>
      <c r="H37" s="116">
        <f>H36/H18</f>
        <v>0.58342921883099541</v>
      </c>
      <c r="I37" s="116">
        <f t="shared" ref="I37:L37" si="8">I36/I18</f>
        <v>0.55512986973404288</v>
      </c>
      <c r="J37" s="116">
        <f t="shared" si="8"/>
        <v>0.54958384105785263</v>
      </c>
      <c r="K37" s="116">
        <f t="shared" si="8"/>
        <v>0.55805833990314224</v>
      </c>
      <c r="L37" s="116">
        <f t="shared" si="8"/>
        <v>0.54066148200740494</v>
      </c>
      <c r="M37" s="106">
        <f>'Working '!M32</f>
        <v>0.55737255030668764</v>
      </c>
      <c r="N37" s="106">
        <f>'Working '!N32</f>
        <v>0.55737255030668764</v>
      </c>
      <c r="O37" s="106">
        <f>'Working '!O32</f>
        <v>0.55179882480362075</v>
      </c>
      <c r="P37" s="106">
        <f>'Working '!P32</f>
        <v>0.54628083655558457</v>
      </c>
      <c r="Q37" s="106">
        <f>'Working '!Q32</f>
        <v>0.54081802819002878</v>
      </c>
      <c r="R37" s="106">
        <f>'Working '!R32</f>
        <v>0.53540984790812851</v>
      </c>
      <c r="S37" s="106">
        <f>'Working '!S32</f>
        <v>0.53005574942904721</v>
      </c>
      <c r="T37" s="106">
        <f>'Working '!T32</f>
        <v>0.52475519193475673</v>
      </c>
      <c r="U37" s="106">
        <f>'Working '!U32</f>
        <v>0.51950764001540917</v>
      </c>
      <c r="V37" s="106">
        <f>'Working '!V32</f>
        <v>0.51431256361525512</v>
      </c>
    </row>
    <row r="38" spans="1:22" ht="18" customHeight="1" x14ac:dyDescent="0.2"/>
    <row r="39" spans="1:22" ht="18" customHeight="1" x14ac:dyDescent="0.2">
      <c r="A39" s="99" t="s">
        <v>176</v>
      </c>
      <c r="B39" s="100" t="s">
        <v>118</v>
      </c>
      <c r="C39" s="266" t="s">
        <v>230</v>
      </c>
      <c r="D39" s="266"/>
      <c r="E39" s="266"/>
      <c r="F39" s="266"/>
      <c r="G39" s="266"/>
      <c r="H39" s="103">
        <f>SUM(H33,H30,H27)</f>
        <v>202937</v>
      </c>
      <c r="I39" s="103">
        <f t="shared" ref="I39:L39" si="9">SUM(I33,I30,I27)</f>
        <v>292612</v>
      </c>
      <c r="J39" s="103">
        <f t="shared" si="9"/>
        <v>426536</v>
      </c>
      <c r="K39" s="103">
        <f t="shared" si="9"/>
        <v>465235</v>
      </c>
      <c r="L39" s="103">
        <f t="shared" si="9"/>
        <v>506851</v>
      </c>
      <c r="M39" s="104">
        <f>'Working '!M33</f>
        <v>492783.80247519276</v>
      </c>
      <c r="N39" s="104">
        <f>'Working '!N33</f>
        <v>517005.41514665715</v>
      </c>
      <c r="O39" s="104">
        <f>'Working '!O33</f>
        <v>523805.2804316206</v>
      </c>
      <c r="P39" s="104">
        <f>'Working '!P33</f>
        <v>536156.26272504451</v>
      </c>
      <c r="Q39" s="104">
        <f>'Working '!Q33</f>
        <v>546247.42160146625</v>
      </c>
      <c r="R39" s="104">
        <f>'Working '!R33</f>
        <v>556555.47339326085</v>
      </c>
      <c r="S39" s="104">
        <f>'Working '!S33</f>
        <v>587166.02442989009</v>
      </c>
      <c r="T39" s="104">
        <f>'Working '!T33</f>
        <v>619460.15577353397</v>
      </c>
      <c r="U39" s="104">
        <f>'Working '!U33</f>
        <v>650433.16356221074</v>
      </c>
      <c r="V39" s="104">
        <f>'Working '!V33</f>
        <v>682954.82174032123</v>
      </c>
    </row>
    <row r="40" spans="1:22" ht="18" customHeight="1" x14ac:dyDescent="0.2">
      <c r="A40" s="99" t="s">
        <v>208</v>
      </c>
      <c r="B40" s="100" t="s">
        <v>120</v>
      </c>
      <c r="C40" s="266"/>
      <c r="D40" s="266"/>
      <c r="E40" s="266"/>
      <c r="F40" s="266"/>
      <c r="G40" s="266"/>
      <c r="H40" s="105">
        <f>H39/H18</f>
        <v>0.19923599220873062</v>
      </c>
      <c r="I40" s="105">
        <f t="shared" ref="I40:L40" si="10">I39/I18</f>
        <v>0.22296082268102824</v>
      </c>
      <c r="J40" s="105">
        <f t="shared" si="10"/>
        <v>0.25616100807814984</v>
      </c>
      <c r="K40" s="105">
        <f t="shared" si="10"/>
        <v>0.25312671216293342</v>
      </c>
      <c r="L40" s="105">
        <f t="shared" si="10"/>
        <v>0.26114844290193906</v>
      </c>
      <c r="M40" s="106"/>
      <c r="N40" s="106"/>
      <c r="O40" s="106"/>
      <c r="P40" s="106"/>
      <c r="Q40" s="106"/>
      <c r="R40" s="106"/>
      <c r="S40" s="106"/>
      <c r="T40" s="106"/>
      <c r="U40" s="106"/>
      <c r="V40" s="106"/>
    </row>
    <row r="41" spans="1:22" ht="18" customHeight="1" x14ac:dyDescent="0.2">
      <c r="C41" s="266"/>
      <c r="D41" s="266"/>
      <c r="E41" s="266"/>
      <c r="F41" s="266"/>
      <c r="G41" s="266"/>
    </row>
    <row r="42" spans="1:22" ht="18" customHeight="1" x14ac:dyDescent="0.2">
      <c r="A42" s="102" t="s">
        <v>128</v>
      </c>
    </row>
    <row r="43" spans="1:22" ht="18" customHeight="1" x14ac:dyDescent="0.2">
      <c r="A43" s="99" t="s">
        <v>209</v>
      </c>
      <c r="B43" s="100" t="s">
        <v>118</v>
      </c>
      <c r="H43" s="103">
        <f>'Income Statement-Historic'!C21</f>
        <v>48549</v>
      </c>
      <c r="I43" s="103">
        <f>'Income Statement-Historic'!D21</f>
        <v>52312</v>
      </c>
      <c r="J43" s="103">
        <f>'Income Statement-Historic'!E21</f>
        <v>41183</v>
      </c>
      <c r="K43" s="103">
        <f>'Income Statement-Historic'!F21</f>
        <v>45210</v>
      </c>
      <c r="L43" s="103">
        <f>'Income Statement-Historic'!G21</f>
        <v>52180</v>
      </c>
      <c r="M43" s="104"/>
      <c r="N43" s="104"/>
      <c r="O43" s="104"/>
      <c r="P43" s="104"/>
      <c r="Q43" s="104"/>
      <c r="R43" s="104"/>
      <c r="S43" s="104"/>
      <c r="T43" s="104"/>
      <c r="U43" s="104"/>
      <c r="V43" s="104"/>
    </row>
    <row r="44" spans="1:22" ht="18" customHeight="1" x14ac:dyDescent="0.2">
      <c r="A44" s="99" t="s">
        <v>210</v>
      </c>
      <c r="B44" s="100" t="s">
        <v>120</v>
      </c>
      <c r="H44" s="105">
        <f>H43/H18</f>
        <v>4.7663600948775545E-2</v>
      </c>
      <c r="I44" s="105">
        <f t="shared" ref="I44:L44" si="11">I43/I18</f>
        <v>3.9860041816774258E-2</v>
      </c>
      <c r="J44" s="105">
        <f>J43/J18</f>
        <v>2.4732915382716686E-2</v>
      </c>
      <c r="K44" s="105">
        <f t="shared" si="11"/>
        <v>2.459801746834658E-2</v>
      </c>
      <c r="L44" s="105">
        <f t="shared" si="11"/>
        <v>2.6885072241394768E-2</v>
      </c>
      <c r="M44" s="106">
        <f>AVERAGE(H44:L44)</f>
        <v>3.2747929571601567E-2</v>
      </c>
      <c r="N44" s="106">
        <f>M44</f>
        <v>3.2747929571601567E-2</v>
      </c>
      <c r="O44" s="106">
        <f t="shared" ref="O44:V44" si="12">N44</f>
        <v>3.2747929571601567E-2</v>
      </c>
      <c r="P44" s="106">
        <f t="shared" si="12"/>
        <v>3.2747929571601567E-2</v>
      </c>
      <c r="Q44" s="106">
        <f t="shared" si="12"/>
        <v>3.2747929571601567E-2</v>
      </c>
      <c r="R44" s="106">
        <f t="shared" si="12"/>
        <v>3.2747929571601567E-2</v>
      </c>
      <c r="S44" s="106">
        <f t="shared" si="12"/>
        <v>3.2747929571601567E-2</v>
      </c>
      <c r="T44" s="106">
        <f t="shared" si="12"/>
        <v>3.2747929571601567E-2</v>
      </c>
      <c r="U44" s="106">
        <f t="shared" si="12"/>
        <v>3.2747929571601567E-2</v>
      </c>
      <c r="V44" s="106">
        <f t="shared" si="12"/>
        <v>3.2747929571601567E-2</v>
      </c>
    </row>
    <row r="45" spans="1:22" ht="18" customHeight="1" x14ac:dyDescent="0.2"/>
    <row r="46" spans="1:22" ht="18" customHeight="1" x14ac:dyDescent="0.2">
      <c r="A46" s="99" t="s">
        <v>211</v>
      </c>
      <c r="B46" s="100" t="s">
        <v>118</v>
      </c>
      <c r="H46" s="103" t="str">
        <f>'Income Statement-Historic'!C22</f>
        <v>—</v>
      </c>
      <c r="I46" s="103" t="str">
        <f>'Income Statement-Historic'!D22</f>
        <v>—</v>
      </c>
      <c r="J46" s="103">
        <f>'Income Statement-Historic'!E22</f>
        <v>18368</v>
      </c>
      <c r="K46" s="103">
        <f>'Income Statement-Historic'!F22</f>
        <v>19525</v>
      </c>
      <c r="L46" s="103">
        <f>'Income Statement-Historic'!G22</f>
        <v>19666</v>
      </c>
      <c r="M46" s="104"/>
      <c r="N46" s="104"/>
      <c r="O46" s="104"/>
      <c r="P46" s="104"/>
      <c r="Q46" s="104"/>
      <c r="R46" s="104"/>
      <c r="S46" s="104"/>
      <c r="T46" s="104"/>
      <c r="U46" s="104"/>
      <c r="V46" s="104"/>
    </row>
    <row r="47" spans="1:22" ht="18" customHeight="1" x14ac:dyDescent="0.2">
      <c r="A47" s="99" t="s">
        <v>212</v>
      </c>
      <c r="B47" s="100" t="s">
        <v>120</v>
      </c>
      <c r="H47" s="105" t="str">
        <f>IFERROR([2]Working!H38/[2]Working!H17,"")</f>
        <v/>
      </c>
      <c r="I47" s="105" t="str">
        <f>IFERROR([2]Working!I38/[2]Working!I17,"")</f>
        <v/>
      </c>
      <c r="J47" s="105">
        <f>J46/J18</f>
        <v>1.1031109675102352E-2</v>
      </c>
      <c r="K47" s="105">
        <f t="shared" ref="K47:L47" si="13">K46/K18</f>
        <v>1.0623231388397854E-2</v>
      </c>
      <c r="L47" s="105">
        <f t="shared" si="13"/>
        <v>1.0132652945559017E-2</v>
      </c>
      <c r="M47" s="106">
        <f>AVERAGE(J47:L47)</f>
        <v>1.0595664669686408E-2</v>
      </c>
      <c r="N47" s="106">
        <f>M47</f>
        <v>1.0595664669686408E-2</v>
      </c>
      <c r="O47" s="106">
        <f t="shared" ref="O47:V47" si="14">N47</f>
        <v>1.0595664669686408E-2</v>
      </c>
      <c r="P47" s="106">
        <f t="shared" si="14"/>
        <v>1.0595664669686408E-2</v>
      </c>
      <c r="Q47" s="106">
        <f t="shared" si="14"/>
        <v>1.0595664669686408E-2</v>
      </c>
      <c r="R47" s="106">
        <f t="shared" si="14"/>
        <v>1.0595664669686408E-2</v>
      </c>
      <c r="S47" s="106">
        <f t="shared" si="14"/>
        <v>1.0595664669686408E-2</v>
      </c>
      <c r="T47" s="106">
        <f t="shared" si="14"/>
        <v>1.0595664669686408E-2</v>
      </c>
      <c r="U47" s="106">
        <f t="shared" si="14"/>
        <v>1.0595664669686408E-2</v>
      </c>
      <c r="V47" s="106">
        <f t="shared" si="14"/>
        <v>1.0595664669686408E-2</v>
      </c>
    </row>
    <row r="48" spans="1:22" ht="18" customHeight="1" x14ac:dyDescent="0.2"/>
    <row r="49" spans="1:22" ht="18" customHeight="1" x14ac:dyDescent="0.2">
      <c r="A49" s="102" t="s">
        <v>131</v>
      </c>
    </row>
    <row r="50" spans="1:22" ht="18" customHeight="1" x14ac:dyDescent="0.2">
      <c r="A50" s="99" t="s">
        <v>213</v>
      </c>
      <c r="B50" s="100" t="s">
        <v>118</v>
      </c>
      <c r="H50" s="103">
        <f>'Income Statement-Historic'!C25</f>
        <v>134717</v>
      </c>
      <c r="I50" s="103">
        <f>'Income Statement-Historic'!D25</f>
        <v>169258</v>
      </c>
      <c r="J50" s="103">
        <f>'Income Statement-Historic'!E25</f>
        <v>202282</v>
      </c>
      <c r="K50" s="103">
        <f>'Income Statement-Historic'!F25</f>
        <v>212679</v>
      </c>
      <c r="L50" s="103">
        <f>'Income Statement-Historic'!G25</f>
        <v>228731</v>
      </c>
      <c r="M50" s="104"/>
      <c r="N50" s="104"/>
      <c r="O50" s="104"/>
      <c r="P50" s="104"/>
      <c r="Q50" s="104"/>
      <c r="R50" s="104"/>
      <c r="S50" s="104"/>
      <c r="T50" s="104"/>
      <c r="U50" s="104"/>
      <c r="V50" s="104"/>
    </row>
    <row r="51" spans="1:22" ht="18" customHeight="1" x14ac:dyDescent="0.2">
      <c r="A51" s="99" t="s">
        <v>214</v>
      </c>
      <c r="B51" s="100" t="s">
        <v>120</v>
      </c>
      <c r="H51" s="105">
        <f>H50/H18</f>
        <v>0.13226013571888598</v>
      </c>
      <c r="I51" s="105">
        <f t="shared" ref="I51:L51" si="15">I50/I18</f>
        <v>0.12896908850404451</v>
      </c>
      <c r="J51" s="105">
        <f t="shared" si="15"/>
        <v>0.12148273776671677</v>
      </c>
      <c r="K51" s="105">
        <f t="shared" si="15"/>
        <v>0.11571514614356297</v>
      </c>
      <c r="L51" s="105">
        <f t="shared" si="15"/>
        <v>0.11785069871304076</v>
      </c>
      <c r="M51" s="106">
        <f>'Working '!M43</f>
        <v>0.1232555613692502</v>
      </c>
      <c r="N51" s="106">
        <f>'Working '!N43</f>
        <v>0.1232555613692502</v>
      </c>
      <c r="O51" s="106">
        <f>'Working '!O43</f>
        <v>0.1220230057555577</v>
      </c>
      <c r="P51" s="106">
        <f>'Working '!P43</f>
        <v>0.12080277569800213</v>
      </c>
      <c r="Q51" s="106">
        <f>'Working '!Q43</f>
        <v>0.11959474794102211</v>
      </c>
      <c r="R51" s="106">
        <f>'Working '!R43</f>
        <v>0.11839880046161189</v>
      </c>
      <c r="S51" s="106">
        <f>'Working '!S43</f>
        <v>0.11484683644776353</v>
      </c>
      <c r="T51" s="106">
        <f>'Working '!T43</f>
        <v>0.11140143135433062</v>
      </c>
      <c r="U51" s="106">
        <f>'Working '!U43</f>
        <v>0.10805938841370069</v>
      </c>
      <c r="V51" s="106">
        <f>'Working '!V43</f>
        <v>0.10481760676128966</v>
      </c>
    </row>
    <row r="52" spans="1:22" ht="18" customHeight="1" x14ac:dyDescent="0.2"/>
    <row r="53" spans="1:22" ht="18" customHeight="1" x14ac:dyDescent="0.2">
      <c r="A53" s="102" t="s">
        <v>158</v>
      </c>
    </row>
    <row r="54" spans="1:22" ht="18" customHeight="1" x14ac:dyDescent="0.2">
      <c r="A54" s="99" t="s">
        <v>158</v>
      </c>
      <c r="B54" s="100" t="s">
        <v>118</v>
      </c>
      <c r="H54" s="103">
        <f>'Income Statement-Historic'!C23</f>
        <v>2267</v>
      </c>
      <c r="I54" s="103">
        <f>'Income Statement-Historic'!D23</f>
        <v>1478</v>
      </c>
      <c r="J54" s="103">
        <f>'Income Statement-Historic'!E23</f>
        <v>464</v>
      </c>
      <c r="K54" s="103">
        <f>'Income Statement-Historic'!F23</f>
        <v>689</v>
      </c>
      <c r="L54" s="103">
        <f>'Income Statement-Historic'!G23</f>
        <v>1286</v>
      </c>
      <c r="M54" s="104"/>
      <c r="N54" s="104"/>
      <c r="O54" s="104"/>
      <c r="P54" s="104"/>
      <c r="Q54" s="104"/>
      <c r="R54" s="104"/>
      <c r="S54" s="104"/>
      <c r="T54" s="104"/>
      <c r="U54" s="104"/>
      <c r="V54" s="104"/>
    </row>
    <row r="55" spans="1:22" ht="18" customHeight="1" x14ac:dyDescent="0.2">
      <c r="A55" s="99" t="s">
        <v>215</v>
      </c>
      <c r="B55" s="100" t="s">
        <v>120</v>
      </c>
      <c r="H55" s="105">
        <f>H54/H18</f>
        <v>2.2256562102386077E-3</v>
      </c>
      <c r="I55" s="105">
        <f t="shared" ref="I55:L55" si="16">I54/I18</f>
        <v>1.1261879072716079E-3</v>
      </c>
      <c r="J55" s="105">
        <f t="shared" si="16"/>
        <v>2.7866043604352628E-4</v>
      </c>
      <c r="K55" s="105">
        <f t="shared" si="16"/>
        <v>3.7487356858418035E-4</v>
      </c>
      <c r="L55" s="105">
        <f t="shared" si="16"/>
        <v>6.6259491955603046E-4</v>
      </c>
      <c r="M55" s="106">
        <f>AVERAGE(H55:L55)</f>
        <v>9.3359460833879052E-4</v>
      </c>
      <c r="N55" s="106">
        <f t="shared" ref="N55:V55" si="17">AVERAGE(I55:M55)</f>
        <v>6.7518228795882711E-4</v>
      </c>
      <c r="O55" s="106">
        <f t="shared" si="17"/>
        <v>5.8498116409627101E-4</v>
      </c>
      <c r="P55" s="106">
        <f t="shared" si="17"/>
        <v>6.4624530970681991E-4</v>
      </c>
      <c r="Q55" s="106">
        <f t="shared" si="17"/>
        <v>7.0051965793134778E-4</v>
      </c>
      <c r="R55" s="106">
        <f t="shared" si="17"/>
        <v>7.0810460560641125E-4</v>
      </c>
      <c r="S55" s="106">
        <f t="shared" si="17"/>
        <v>6.6300660505993537E-4</v>
      </c>
      <c r="T55" s="106">
        <f t="shared" si="17"/>
        <v>6.60571468480157E-4</v>
      </c>
      <c r="U55" s="106">
        <f t="shared" si="17"/>
        <v>6.7568952935693431E-4</v>
      </c>
      <c r="V55" s="106">
        <f t="shared" si="17"/>
        <v>6.8157837328695708E-4</v>
      </c>
    </row>
    <row r="56" spans="1:22" ht="18" customHeight="1" x14ac:dyDescent="0.2"/>
    <row r="57" spans="1:22" ht="18" customHeight="1" x14ac:dyDescent="0.2">
      <c r="A57" s="102" t="s">
        <v>133</v>
      </c>
    </row>
    <row r="58" spans="1:22" ht="18" customHeight="1" x14ac:dyDescent="0.2">
      <c r="A58" s="99" t="s">
        <v>133</v>
      </c>
      <c r="B58" s="100" t="s">
        <v>118</v>
      </c>
      <c r="H58" s="103">
        <f>'Income Statement-Historic'!C24</f>
        <v>23201</v>
      </c>
      <c r="I58" s="103">
        <f>'Income Statement-Historic'!D24</f>
        <v>21719</v>
      </c>
      <c r="J58" s="103">
        <f>'Income Statement-Historic'!E24</f>
        <v>21059</v>
      </c>
      <c r="K58" s="103">
        <f>'Income Statement-Historic'!F24</f>
        <v>21190</v>
      </c>
      <c r="L58" s="103">
        <f>'Income Statement-Historic'!G24</f>
        <v>23298</v>
      </c>
      <c r="M58" s="104"/>
      <c r="N58" s="104"/>
      <c r="O58" s="104"/>
      <c r="P58" s="104"/>
      <c r="Q58" s="104"/>
      <c r="R58" s="104"/>
      <c r="S58" s="104"/>
      <c r="T58" s="104"/>
      <c r="U58" s="104"/>
      <c r="V58" s="104"/>
    </row>
    <row r="59" spans="1:22" ht="18" customHeight="1" x14ac:dyDescent="0.2">
      <c r="A59" s="99" t="s">
        <v>216</v>
      </c>
      <c r="B59" s="100" t="s">
        <v>120</v>
      </c>
      <c r="H59" s="105">
        <f>H58/H18</f>
        <v>2.2777878135750301E-2</v>
      </c>
      <c r="I59" s="105">
        <f t="shared" ref="I59:L59" si="18">I58/I18</f>
        <v>1.6549171284189479E-2</v>
      </c>
      <c r="J59" s="105">
        <f t="shared" si="18"/>
        <v>1.2647220091897888E-2</v>
      </c>
      <c r="K59" s="105">
        <f t="shared" si="18"/>
        <v>1.152913050551347E-2</v>
      </c>
      <c r="L59" s="105">
        <f t="shared" si="18"/>
        <v>1.2003994118053187E-2</v>
      </c>
      <c r="M59" s="106">
        <f>AVERAGE(H59:L59)</f>
        <v>1.5101478827080864E-2</v>
      </c>
      <c r="N59" s="106">
        <f>M59</f>
        <v>1.5101478827080864E-2</v>
      </c>
      <c r="O59" s="106">
        <f t="shared" ref="O59:V59" si="19">N59</f>
        <v>1.5101478827080864E-2</v>
      </c>
      <c r="P59" s="106">
        <f t="shared" si="19"/>
        <v>1.5101478827080864E-2</v>
      </c>
      <c r="Q59" s="106">
        <f t="shared" si="19"/>
        <v>1.5101478827080864E-2</v>
      </c>
      <c r="R59" s="106">
        <f t="shared" si="19"/>
        <v>1.5101478827080864E-2</v>
      </c>
      <c r="S59" s="106">
        <f t="shared" si="19"/>
        <v>1.5101478827080864E-2</v>
      </c>
      <c r="T59" s="106">
        <f t="shared" si="19"/>
        <v>1.5101478827080864E-2</v>
      </c>
      <c r="U59" s="106">
        <f t="shared" si="19"/>
        <v>1.5101478827080864E-2</v>
      </c>
      <c r="V59" s="106">
        <f t="shared" si="19"/>
        <v>1.5101478827080864E-2</v>
      </c>
    </row>
    <row r="60" spans="1:22" ht="18" customHeight="1" x14ac:dyDescent="0.2"/>
    <row r="61" spans="1:22" ht="18" customHeight="1" x14ac:dyDescent="0.2"/>
    <row r="62" spans="1:22" ht="21" customHeight="1" x14ac:dyDescent="0.2">
      <c r="A62" s="97" t="s">
        <v>135</v>
      </c>
      <c r="B62" s="98"/>
      <c r="C62" s="98"/>
      <c r="D62" s="98"/>
      <c r="E62" s="98"/>
      <c r="F62" s="98"/>
      <c r="G62" s="98"/>
      <c r="H62" s="98"/>
      <c r="I62" s="98"/>
      <c r="J62" s="98"/>
      <c r="K62" s="98"/>
      <c r="L62" s="98"/>
      <c r="M62" s="98"/>
      <c r="N62" s="98"/>
      <c r="O62" s="98"/>
      <c r="P62" s="98"/>
      <c r="Q62" s="98"/>
      <c r="R62" s="98"/>
      <c r="S62" s="98"/>
      <c r="T62" s="98"/>
      <c r="U62" s="98"/>
      <c r="V62" s="98"/>
    </row>
    <row r="63" spans="1:22" ht="18" customHeight="1" x14ac:dyDescent="0.2">
      <c r="A63" s="102" t="s">
        <v>136</v>
      </c>
    </row>
    <row r="64" spans="1:22" ht="18" customHeight="1" x14ac:dyDescent="0.2"/>
    <row r="65" spans="1:22" ht="18" customHeight="1" x14ac:dyDescent="0.2">
      <c r="A65" s="99" t="s">
        <v>217</v>
      </c>
      <c r="B65" s="100" t="s">
        <v>138</v>
      </c>
      <c r="H65" s="107">
        <f>'Balance Sheet- Historic'!C21/'Working '!H17*'Working '!H62</f>
        <v>49.988547737233155</v>
      </c>
      <c r="I65" s="107">
        <f>'Balance Sheet- Historic'!D21/'Working '!I17*'Working '!I62</f>
        <v>34.899930813354544</v>
      </c>
      <c r="J65" s="107">
        <f>'Balance Sheet- Historic'!E21/'Working '!J17*'Working '!J62</f>
        <v>30.849139605875653</v>
      </c>
      <c r="K65" s="107">
        <f>'Balance Sheet- Historic'!F21/'Working '!K17*'Working '!K62</f>
        <v>46.076555820524248</v>
      </c>
      <c r="L65" s="107">
        <f>'Balance Sheet- Historic'!G21/'Working '!L17*'Working '!L62</f>
        <v>53.797449473273112</v>
      </c>
      <c r="M65" s="108">
        <f>AVERAGE(H65:L65)</f>
        <v>43.122324690052139</v>
      </c>
      <c r="N65" s="108">
        <f>M65</f>
        <v>43.122324690052139</v>
      </c>
      <c r="O65" s="108">
        <f t="shared" ref="O65:V65" si="20">N65</f>
        <v>43.122324690052139</v>
      </c>
      <c r="P65" s="108">
        <f t="shared" si="20"/>
        <v>43.122324690052139</v>
      </c>
      <c r="Q65" s="108">
        <f t="shared" si="20"/>
        <v>43.122324690052139</v>
      </c>
      <c r="R65" s="108">
        <f t="shared" si="20"/>
        <v>43.122324690052139</v>
      </c>
      <c r="S65" s="108">
        <f t="shared" si="20"/>
        <v>43.122324690052139</v>
      </c>
      <c r="T65" s="108">
        <f t="shared" si="20"/>
        <v>43.122324690052139</v>
      </c>
      <c r="U65" s="108">
        <f t="shared" si="20"/>
        <v>43.122324690052139</v>
      </c>
      <c r="V65" s="108">
        <f t="shared" si="20"/>
        <v>43.122324690052139</v>
      </c>
    </row>
    <row r="66" spans="1:22" ht="18" customHeight="1" x14ac:dyDescent="0.2"/>
    <row r="67" spans="1:22" ht="18" customHeight="1" x14ac:dyDescent="0.2">
      <c r="A67" s="99" t="s">
        <v>139</v>
      </c>
      <c r="B67" s="100" t="s">
        <v>138</v>
      </c>
      <c r="H67" s="107">
        <f>'Balance Sheet- Historic'!C20*Assumptions!H6/Assumptions!H39</f>
        <v>204.44187112256512</v>
      </c>
      <c r="I67" s="107">
        <f>'Balance Sheet- Historic'!D20*Assumptions!I6/Assumptions!I39</f>
        <v>116.73159337279401</v>
      </c>
      <c r="J67" s="107">
        <f>'Balance Sheet- Historic'!E20*Assumptions!J6/Assumptions!J39</f>
        <v>122.18210186244538</v>
      </c>
      <c r="K67" s="107">
        <f>'Balance Sheet- Historic'!F20*Assumptions!K6/Assumptions!K39</f>
        <v>107.67866562060034</v>
      </c>
      <c r="L67" s="107">
        <f>'Balance Sheet- Historic'!G20*Assumptions!L6/Assumptions!L39</f>
        <v>116.40441668261481</v>
      </c>
      <c r="M67" s="108">
        <f>AVERAGE(H67:L67)</f>
        <v>133.48772973220395</v>
      </c>
      <c r="N67" s="108">
        <f>M67</f>
        <v>133.48772973220395</v>
      </c>
      <c r="O67" s="108">
        <f t="shared" ref="O67:V67" si="21">N67</f>
        <v>133.48772973220395</v>
      </c>
      <c r="P67" s="108">
        <f t="shared" si="21"/>
        <v>133.48772973220395</v>
      </c>
      <c r="Q67" s="108">
        <f t="shared" si="21"/>
        <v>133.48772973220395</v>
      </c>
      <c r="R67" s="108">
        <f t="shared" si="21"/>
        <v>133.48772973220395</v>
      </c>
      <c r="S67" s="108">
        <f t="shared" si="21"/>
        <v>133.48772973220395</v>
      </c>
      <c r="T67" s="108">
        <f t="shared" si="21"/>
        <v>133.48772973220395</v>
      </c>
      <c r="U67" s="108">
        <f t="shared" si="21"/>
        <v>133.48772973220395</v>
      </c>
      <c r="V67" s="108">
        <f t="shared" si="21"/>
        <v>133.48772973220395</v>
      </c>
    </row>
    <row r="68" spans="1:22" ht="18" customHeight="1" x14ac:dyDescent="0.2">
      <c r="H68" s="107"/>
      <c r="I68" s="107"/>
      <c r="J68" s="107"/>
      <c r="K68" s="107"/>
      <c r="L68" s="107"/>
    </row>
    <row r="69" spans="1:22" ht="18" customHeight="1" x14ac:dyDescent="0.2">
      <c r="A69" s="99" t="s">
        <v>218</v>
      </c>
      <c r="B69" s="100" t="s">
        <v>138</v>
      </c>
      <c r="H69" s="107">
        <f>SUM('Balance Sheet- Historic'!C46:C47)/SUM(Assumptions!H27,Assumptions!H30)*Assumptions!H6</f>
        <v>110.6491340791713</v>
      </c>
      <c r="I69" s="107">
        <f>SUM('Balance Sheet- Historic'!D46:D47)/SUM(Assumptions!I27,Assumptions!I30)*Assumptions!I6</f>
        <v>80.213977424210583</v>
      </c>
      <c r="J69" s="107">
        <f>SUM('Balance Sheet- Historic'!E46:E47)/SUM(Assumptions!J27,Assumptions!J30)*Assumptions!J6</f>
        <v>60.617039166317291</v>
      </c>
      <c r="K69" s="107">
        <f>SUM('Balance Sheet- Historic'!F46:F47)/SUM(Assumptions!K27,Assumptions!K30)*Assumptions!K6</f>
        <v>74.081843015066795</v>
      </c>
      <c r="L69" s="107">
        <f>SUM('Balance Sheet- Historic'!G46:G47)/SUM(Assumptions!L27,Assumptions!L30)*Assumptions!L6</f>
        <v>81.974838184066726</v>
      </c>
      <c r="M69" s="108">
        <f>AVERAGE(H69:L69)</f>
        <v>81.50736637376653</v>
      </c>
      <c r="N69" s="108">
        <f>M69</f>
        <v>81.50736637376653</v>
      </c>
      <c r="O69" s="108">
        <f t="shared" ref="O69:V69" si="22">N69</f>
        <v>81.50736637376653</v>
      </c>
      <c r="P69" s="108">
        <f t="shared" si="22"/>
        <v>81.50736637376653</v>
      </c>
      <c r="Q69" s="108">
        <f t="shared" si="22"/>
        <v>81.50736637376653</v>
      </c>
      <c r="R69" s="108">
        <f t="shared" si="22"/>
        <v>81.50736637376653</v>
      </c>
      <c r="S69" s="108">
        <f t="shared" si="22"/>
        <v>81.50736637376653</v>
      </c>
      <c r="T69" s="108">
        <f t="shared" si="22"/>
        <v>81.50736637376653</v>
      </c>
      <c r="U69" s="108">
        <f t="shared" si="22"/>
        <v>81.50736637376653</v>
      </c>
      <c r="V69" s="108">
        <f t="shared" si="22"/>
        <v>81.50736637376653</v>
      </c>
    </row>
    <row r="70" spans="1:22" ht="18" customHeight="1" x14ac:dyDescent="0.2"/>
    <row r="71" spans="1:22" ht="18" customHeight="1" x14ac:dyDescent="0.2"/>
    <row r="72" spans="1:22" ht="21" customHeight="1" x14ac:dyDescent="0.2">
      <c r="A72" s="97" t="s">
        <v>141</v>
      </c>
      <c r="B72" s="98"/>
      <c r="C72" s="98"/>
      <c r="D72" s="98"/>
      <c r="E72" s="98"/>
      <c r="F72" s="98"/>
      <c r="G72" s="98"/>
      <c r="H72" s="98"/>
      <c r="I72" s="98"/>
      <c r="J72" s="98"/>
      <c r="K72" s="98"/>
      <c r="L72" s="98"/>
      <c r="M72" s="98"/>
      <c r="N72" s="98"/>
      <c r="O72" s="98"/>
      <c r="P72" s="98"/>
      <c r="Q72" s="98"/>
      <c r="R72" s="98"/>
      <c r="S72" s="98"/>
      <c r="T72" s="98"/>
      <c r="U72" s="98"/>
      <c r="V72" s="98"/>
    </row>
    <row r="73" spans="1:22" ht="18" customHeight="1" x14ac:dyDescent="0.2"/>
    <row r="74" spans="1:22" ht="18" customHeight="1" x14ac:dyDescent="0.2">
      <c r="A74" s="99" t="s">
        <v>142</v>
      </c>
      <c r="B74" s="100" t="s">
        <v>118</v>
      </c>
      <c r="H74" s="103">
        <f>'Working '!H93</f>
        <v>-20282</v>
      </c>
      <c r="I74" s="103">
        <f>'Working '!I93</f>
        <v>-16174</v>
      </c>
      <c r="J74" s="103">
        <f>'Working '!J93</f>
        <v>-11595</v>
      </c>
      <c r="K74" s="103">
        <f>'Working '!K93</f>
        <v>-23200</v>
      </c>
      <c r="L74" s="103">
        <f>'Working '!L93</f>
        <v>-28703</v>
      </c>
      <c r="M74" s="104"/>
      <c r="N74" s="104"/>
      <c r="O74" s="104"/>
      <c r="P74" s="104"/>
      <c r="Q74" s="104"/>
      <c r="R74" s="104"/>
      <c r="S74" s="104"/>
      <c r="T74" s="104"/>
      <c r="U74" s="104"/>
      <c r="V74" s="104"/>
    </row>
    <row r="75" spans="1:22" ht="18" customHeight="1" x14ac:dyDescent="0.2">
      <c r="A75" s="99" t="s">
        <v>219</v>
      </c>
      <c r="B75" s="100" t="s">
        <v>120</v>
      </c>
      <c r="H75" s="105">
        <f>H74/H18</f>
        <v>-1.9912112596409105E-2</v>
      </c>
      <c r="I75" s="105">
        <f t="shared" ref="I75:L75" si="23">I74/I18</f>
        <v>-1.2324061713268596E-2</v>
      </c>
      <c r="J75" s="105">
        <f t="shared" si="23"/>
        <v>-6.9635080946652741E-3</v>
      </c>
      <c r="K75" s="105">
        <f t="shared" si="23"/>
        <v>-1.2622738448698091E-2</v>
      </c>
      <c r="L75" s="105">
        <f t="shared" si="23"/>
        <v>-1.478885068119498E-2</v>
      </c>
      <c r="M75" s="106">
        <f>AVERAGE(H75:L75)</f>
        <v>-1.3322254306847209E-2</v>
      </c>
      <c r="N75" s="106">
        <f>M75</f>
        <v>-1.3322254306847209E-2</v>
      </c>
      <c r="O75" s="106">
        <f t="shared" ref="O75:V75" si="24">N75</f>
        <v>-1.3322254306847209E-2</v>
      </c>
      <c r="P75" s="106">
        <f t="shared" si="24"/>
        <v>-1.3322254306847209E-2</v>
      </c>
      <c r="Q75" s="106">
        <f t="shared" si="24"/>
        <v>-1.3322254306847209E-2</v>
      </c>
      <c r="R75" s="106">
        <f t="shared" si="24"/>
        <v>-1.3322254306847209E-2</v>
      </c>
      <c r="S75" s="106">
        <f t="shared" si="24"/>
        <v>-1.3322254306847209E-2</v>
      </c>
      <c r="T75" s="106">
        <f t="shared" si="24"/>
        <v>-1.3322254306847209E-2</v>
      </c>
      <c r="U75" s="106">
        <f t="shared" si="24"/>
        <v>-1.3322254306847209E-2</v>
      </c>
      <c r="V75" s="106">
        <f t="shared" si="24"/>
        <v>-1.3322254306847209E-2</v>
      </c>
    </row>
    <row r="76" spans="1:22" ht="18" customHeight="1" x14ac:dyDescent="0.2"/>
    <row r="77" spans="1:22" ht="18" customHeight="1" x14ac:dyDescent="0.2">
      <c r="A77" s="99" t="s">
        <v>133</v>
      </c>
      <c r="B77" s="100" t="s">
        <v>118</v>
      </c>
      <c r="H77" s="103">
        <f>H58</f>
        <v>23201</v>
      </c>
      <c r="I77" s="103">
        <f t="shared" ref="I77:L77" si="25">I58</f>
        <v>21719</v>
      </c>
      <c r="J77" s="103">
        <f t="shared" si="25"/>
        <v>21059</v>
      </c>
      <c r="K77" s="103">
        <f t="shared" si="25"/>
        <v>21190</v>
      </c>
      <c r="L77" s="103">
        <f t="shared" si="25"/>
        <v>23298</v>
      </c>
      <c r="M77" s="104"/>
      <c r="N77" s="104"/>
      <c r="O77" s="104"/>
      <c r="P77" s="104"/>
      <c r="Q77" s="104"/>
      <c r="R77" s="104"/>
      <c r="S77" s="104"/>
      <c r="T77" s="104"/>
      <c r="U77" s="104"/>
      <c r="V77" s="104"/>
    </row>
    <row r="78" spans="1:22" ht="18" customHeight="1" x14ac:dyDescent="0.2">
      <c r="A78" s="99" t="s">
        <v>216</v>
      </c>
      <c r="B78" s="100" t="s">
        <v>120</v>
      </c>
      <c r="H78" s="119">
        <f>H59</f>
        <v>2.2777878135750301E-2</v>
      </c>
      <c r="I78" s="119">
        <f t="shared" ref="I78:V78" si="26">I59</f>
        <v>1.6549171284189479E-2</v>
      </c>
      <c r="J78" s="119">
        <f t="shared" si="26"/>
        <v>1.2647220091897888E-2</v>
      </c>
      <c r="K78" s="119">
        <f t="shared" si="26"/>
        <v>1.152913050551347E-2</v>
      </c>
      <c r="L78" s="119">
        <f t="shared" si="26"/>
        <v>1.2003994118053187E-2</v>
      </c>
      <c r="M78" s="120">
        <f t="shared" si="26"/>
        <v>1.5101478827080864E-2</v>
      </c>
      <c r="N78" s="120">
        <f t="shared" si="26"/>
        <v>1.5101478827080864E-2</v>
      </c>
      <c r="O78" s="120">
        <f t="shared" si="26"/>
        <v>1.5101478827080864E-2</v>
      </c>
      <c r="P78" s="120">
        <f t="shared" si="26"/>
        <v>1.5101478827080864E-2</v>
      </c>
      <c r="Q78" s="120">
        <f t="shared" si="26"/>
        <v>1.5101478827080864E-2</v>
      </c>
      <c r="R78" s="120">
        <f t="shared" si="26"/>
        <v>1.5101478827080864E-2</v>
      </c>
      <c r="S78" s="120">
        <f t="shared" si="26"/>
        <v>1.5101478827080864E-2</v>
      </c>
      <c r="T78" s="120">
        <f t="shared" si="26"/>
        <v>1.5101478827080864E-2</v>
      </c>
      <c r="U78" s="120">
        <f t="shared" si="26"/>
        <v>1.5101478827080864E-2</v>
      </c>
      <c r="V78" s="120">
        <f t="shared" si="26"/>
        <v>1.5101478827080864E-2</v>
      </c>
    </row>
    <row r="79" spans="1:22" ht="18" customHeight="1" x14ac:dyDescent="0.2"/>
    <row r="80" spans="1:22" ht="21" customHeight="1" x14ac:dyDescent="0.2">
      <c r="A80" s="97" t="s">
        <v>145</v>
      </c>
      <c r="B80" s="98"/>
      <c r="C80" s="98"/>
      <c r="D80" s="98"/>
      <c r="E80" s="98"/>
      <c r="F80" s="98"/>
      <c r="G80" s="98"/>
      <c r="H80" s="98"/>
      <c r="I80" s="98"/>
      <c r="J80" s="98"/>
      <c r="K80" s="98"/>
      <c r="L80" s="98"/>
      <c r="M80" s="98"/>
      <c r="N80" s="98"/>
      <c r="O80" s="98"/>
      <c r="P80" s="98"/>
      <c r="Q80" s="98"/>
      <c r="R80" s="98"/>
      <c r="S80" s="98"/>
      <c r="T80" s="98"/>
      <c r="U80" s="98"/>
      <c r="V80" s="98"/>
    </row>
    <row r="82" spans="1:22" x14ac:dyDescent="0.2">
      <c r="A82" s="99" t="s">
        <v>272</v>
      </c>
      <c r="B82" s="100" t="s">
        <v>118</v>
      </c>
      <c r="H82" s="103">
        <f>'Cash flow-Historic'!B52</f>
        <v>25000</v>
      </c>
      <c r="I82" s="103">
        <f>'Cash flow-Historic'!C52</f>
        <v>0</v>
      </c>
      <c r="J82" s="103">
        <f>'Cash flow-Historic'!D52</f>
        <v>0</v>
      </c>
      <c r="K82" s="103">
        <f>'Cash flow-Historic'!E52</f>
        <v>0</v>
      </c>
      <c r="L82" s="103">
        <f>'Cash flow-Historic'!F52</f>
        <v>0</v>
      </c>
      <c r="M82" s="118">
        <v>0</v>
      </c>
      <c r="N82" s="118">
        <v>0</v>
      </c>
      <c r="O82" s="118">
        <v>0</v>
      </c>
      <c r="P82" s="118">
        <v>0</v>
      </c>
      <c r="Q82" s="118">
        <v>0</v>
      </c>
      <c r="R82" s="118">
        <v>0</v>
      </c>
      <c r="S82" s="118">
        <v>0</v>
      </c>
      <c r="T82" s="118">
        <v>0</v>
      </c>
      <c r="U82" s="118">
        <v>0</v>
      </c>
      <c r="V82" s="118">
        <v>0</v>
      </c>
    </row>
    <row r="83" spans="1:22" ht="16" x14ac:dyDescent="0.2">
      <c r="A83" s="99" t="s">
        <v>273</v>
      </c>
      <c r="B83" s="8"/>
      <c r="C83" s="8"/>
      <c r="D83" s="8"/>
      <c r="E83" s="8"/>
      <c r="F83" s="8"/>
      <c r="H83" s="103">
        <f>'Cash flow-Historic'!B53</f>
        <v>-7543</v>
      </c>
      <c r="I83" s="103">
        <f>'Cash flow-Historic'!C53</f>
        <v>-25000</v>
      </c>
      <c r="J83" s="103">
        <f>'Cash flow-Historic'!D53</f>
        <v>0</v>
      </c>
      <c r="K83" s="103">
        <f>'Cash flow-Historic'!E53</f>
        <v>0</v>
      </c>
      <c r="L83" s="103">
        <f>'Cash flow-Historic'!F53</f>
        <v>0</v>
      </c>
      <c r="M83" s="118">
        <v>0</v>
      </c>
      <c r="N83" s="118">
        <v>0</v>
      </c>
      <c r="O83" s="118">
        <v>0</v>
      </c>
      <c r="P83" s="118">
        <v>0</v>
      </c>
      <c r="Q83" s="118">
        <v>0</v>
      </c>
      <c r="R83" s="118">
        <v>0</v>
      </c>
      <c r="S83" s="118">
        <v>0</v>
      </c>
      <c r="T83" s="118">
        <v>0</v>
      </c>
      <c r="U83" s="118">
        <v>0</v>
      </c>
      <c r="V83" s="118">
        <v>0</v>
      </c>
    </row>
    <row r="84" spans="1:22" ht="16" x14ac:dyDescent="0.2">
      <c r="A84" s="99" t="s">
        <v>274</v>
      </c>
      <c r="B84" s="100" t="s">
        <v>120</v>
      </c>
      <c r="C84" s="124">
        <v>8.5000000000000006E-2</v>
      </c>
      <c r="D84"/>
      <c r="E84" s="3"/>
      <c r="F84" s="3"/>
    </row>
    <row r="85" spans="1:22" ht="16" customHeight="1" x14ac:dyDescent="0.2">
      <c r="B85" s="263" t="s">
        <v>278</v>
      </c>
      <c r="C85" s="263"/>
      <c r="D85" s="263"/>
      <c r="E85" s="263"/>
      <c r="F85" s="263"/>
      <c r="G85" s="263"/>
    </row>
    <row r="86" spans="1:22" ht="16" customHeight="1" x14ac:dyDescent="0.2">
      <c r="B86" s="263"/>
      <c r="C86" s="263"/>
      <c r="D86" s="263"/>
      <c r="E86" s="263"/>
      <c r="F86" s="263"/>
      <c r="G86" s="263"/>
    </row>
    <row r="87" spans="1:22" ht="15" customHeight="1" x14ac:dyDescent="0.2">
      <c r="B87" s="263"/>
      <c r="C87" s="263"/>
      <c r="D87" s="263"/>
      <c r="E87" s="263"/>
      <c r="F87" s="263"/>
      <c r="G87" s="263"/>
    </row>
    <row r="88" spans="1:22" ht="15" customHeight="1" x14ac:dyDescent="0.2">
      <c r="A88" s="118" t="s">
        <v>279</v>
      </c>
      <c r="B88" s="263"/>
      <c r="C88" s="263"/>
      <c r="D88" s="263"/>
      <c r="E88" s="263"/>
      <c r="F88" s="263"/>
      <c r="G88" s="263"/>
    </row>
    <row r="89" spans="1:22" ht="15" customHeight="1" x14ac:dyDescent="0.2">
      <c r="B89" s="263"/>
      <c r="C89" s="263"/>
      <c r="D89" s="263"/>
      <c r="E89" s="263"/>
      <c r="F89" s="263"/>
      <c r="G89" s="263"/>
    </row>
    <row r="90" spans="1:22" ht="15" customHeight="1" x14ac:dyDescent="0.2">
      <c r="B90" s="263"/>
      <c r="C90" s="263"/>
      <c r="D90" s="263"/>
      <c r="E90" s="263"/>
      <c r="F90" s="263"/>
      <c r="G90" s="263"/>
    </row>
    <row r="91" spans="1:22" ht="15" customHeight="1" x14ac:dyDescent="0.2">
      <c r="B91" s="263"/>
      <c r="C91" s="263"/>
      <c r="D91" s="263"/>
      <c r="E91" s="263"/>
      <c r="F91" s="263"/>
      <c r="G91" s="263"/>
    </row>
    <row r="92" spans="1:22" ht="15" customHeight="1" x14ac:dyDescent="0.2">
      <c r="B92" s="263"/>
      <c r="C92" s="263"/>
      <c r="D92" s="263"/>
      <c r="E92" s="263"/>
      <c r="F92" s="263"/>
      <c r="G92" s="263"/>
    </row>
    <row r="93" spans="1:22" ht="15" customHeight="1" x14ac:dyDescent="0.2">
      <c r="B93" s="263"/>
      <c r="C93" s="263"/>
      <c r="D93" s="263"/>
      <c r="E93" s="263"/>
      <c r="F93" s="263"/>
      <c r="G93" s="263"/>
    </row>
    <row r="97" spans="1:22" ht="16" x14ac:dyDescent="0.2">
      <c r="J97"/>
      <c r="K97" s="8"/>
      <c r="M97"/>
    </row>
    <row r="98" spans="1:22" ht="16" x14ac:dyDescent="0.2">
      <c r="J98"/>
      <c r="K98" s="8"/>
      <c r="M98"/>
    </row>
    <row r="99" spans="1:22" ht="17" x14ac:dyDescent="0.25">
      <c r="J99"/>
      <c r="K99" s="8"/>
      <c r="M99" s="18"/>
    </row>
    <row r="100" spans="1:22" ht="21" customHeight="1" x14ac:dyDescent="0.2">
      <c r="A100" s="97" t="s">
        <v>220</v>
      </c>
      <c r="B100" s="98"/>
      <c r="C100" s="98"/>
      <c r="D100" s="98"/>
      <c r="E100" s="98"/>
      <c r="F100" s="98"/>
      <c r="G100" s="98"/>
      <c r="H100" s="98"/>
      <c r="I100" s="98"/>
      <c r="J100" s="98"/>
      <c r="K100" s="98"/>
      <c r="L100" s="98"/>
      <c r="M100" s="98"/>
      <c r="N100" s="98"/>
      <c r="O100" s="98"/>
      <c r="P100" s="98"/>
      <c r="Q100" s="98"/>
      <c r="R100" s="98"/>
      <c r="S100" s="98"/>
      <c r="T100" s="98"/>
      <c r="U100" s="98"/>
      <c r="V100" s="98"/>
    </row>
    <row r="101" spans="1:22" ht="18" customHeight="1" x14ac:dyDescent="0.2"/>
    <row r="102" spans="1:22" ht="18" customHeight="1" x14ac:dyDescent="0.2">
      <c r="A102" s="121" t="s">
        <v>149</v>
      </c>
      <c r="B102" s="122" t="s">
        <v>120</v>
      </c>
      <c r="C102" s="123">
        <v>7.0999999999999994E-2</v>
      </c>
      <c r="M102" s="109"/>
      <c r="N102" s="109"/>
      <c r="O102" s="109"/>
      <c r="P102" s="109"/>
      <c r="Q102" s="109"/>
      <c r="R102" s="109"/>
      <c r="S102" s="109"/>
      <c r="T102" s="109"/>
      <c r="U102" s="109"/>
      <c r="V102" s="109"/>
    </row>
    <row r="103" spans="1:22" ht="18" customHeight="1" x14ac:dyDescent="0.2">
      <c r="A103" s="121" t="s">
        <v>221</v>
      </c>
      <c r="B103" s="122" t="s">
        <v>120</v>
      </c>
      <c r="C103" s="123">
        <v>6.5000000000000002E-2</v>
      </c>
      <c r="M103" s="109"/>
      <c r="N103" s="109"/>
      <c r="O103" s="109"/>
      <c r="P103" s="109"/>
      <c r="Q103" s="109"/>
      <c r="R103" s="109"/>
      <c r="S103" s="109"/>
      <c r="T103" s="109"/>
      <c r="U103" s="109"/>
      <c r="V103" s="109"/>
    </row>
    <row r="104" spans="1:22" ht="18" customHeight="1" x14ac:dyDescent="0.2">
      <c r="A104" s="121" t="s">
        <v>150</v>
      </c>
      <c r="B104" s="122" t="s">
        <v>151</v>
      </c>
      <c r="C104" s="9">
        <v>0.92</v>
      </c>
      <c r="M104" s="110"/>
      <c r="N104" s="110"/>
      <c r="O104" s="110"/>
      <c r="P104" s="110"/>
      <c r="Q104" s="110"/>
      <c r="R104" s="110"/>
      <c r="S104" s="110"/>
      <c r="T104" s="110"/>
      <c r="U104" s="110"/>
      <c r="V104" s="110"/>
    </row>
    <row r="105" spans="1:22" ht="18" customHeight="1" x14ac:dyDescent="0.2">
      <c r="A105" s="121" t="s">
        <v>148</v>
      </c>
      <c r="B105" s="122" t="s">
        <v>120</v>
      </c>
      <c r="C105" s="124">
        <f>C102+(C103*C104)</f>
        <v>0.1308</v>
      </c>
      <c r="M105" s="111"/>
      <c r="N105" s="111"/>
      <c r="O105" s="111"/>
      <c r="P105" s="111"/>
      <c r="Q105" s="111"/>
      <c r="R105" s="111"/>
      <c r="S105" s="111"/>
      <c r="T105" s="111"/>
      <c r="U105" s="111"/>
      <c r="V105" s="111"/>
    </row>
    <row r="106" spans="1:22" ht="18" customHeight="1" x14ac:dyDescent="0.2">
      <c r="A106" s="121"/>
      <c r="B106" s="122"/>
      <c r="C106" s="9"/>
      <c r="M106" s="109"/>
      <c r="N106" s="109"/>
      <c r="O106" s="109"/>
      <c r="P106" s="109"/>
      <c r="Q106" s="109"/>
      <c r="R106" s="109"/>
      <c r="S106" s="109"/>
      <c r="T106" s="109"/>
      <c r="U106" s="109"/>
      <c r="V106" s="109"/>
    </row>
    <row r="107" spans="1:22" ht="18" customHeight="1" x14ac:dyDescent="0.2">
      <c r="A107" s="121" t="s">
        <v>144</v>
      </c>
      <c r="B107" s="122" t="s">
        <v>120</v>
      </c>
      <c r="C107" s="125">
        <v>0.3</v>
      </c>
      <c r="M107" s="111"/>
      <c r="N107" s="111"/>
      <c r="O107" s="111"/>
      <c r="P107" s="111"/>
      <c r="Q107" s="111"/>
      <c r="R107" s="111"/>
      <c r="S107" s="111"/>
      <c r="T107" s="111"/>
      <c r="U107" s="111"/>
      <c r="V107" s="111"/>
    </row>
    <row r="108" spans="1:22" ht="18" customHeight="1" x14ac:dyDescent="0.2">
      <c r="A108" s="121"/>
      <c r="B108" s="122" t="s">
        <v>120</v>
      </c>
      <c r="C108" s="10"/>
      <c r="M108" s="111"/>
      <c r="N108" s="111"/>
      <c r="O108" s="111"/>
      <c r="P108" s="111"/>
      <c r="Q108" s="111"/>
      <c r="R108" s="111"/>
      <c r="S108" s="111"/>
      <c r="T108" s="111"/>
      <c r="U108" s="111"/>
      <c r="V108" s="111"/>
    </row>
    <row r="109" spans="1:22" ht="18" customHeight="1" x14ac:dyDescent="0.2">
      <c r="A109" s="121" t="s">
        <v>156</v>
      </c>
      <c r="B109" s="122" t="s">
        <v>120</v>
      </c>
      <c r="C109" s="123">
        <v>0.04</v>
      </c>
      <c r="M109" s="109"/>
      <c r="N109" s="109"/>
      <c r="O109" s="109"/>
      <c r="P109" s="109"/>
      <c r="Q109" s="109"/>
      <c r="R109" s="109"/>
      <c r="S109" s="109"/>
      <c r="T109" s="109"/>
      <c r="U109" s="109"/>
      <c r="V109" s="109"/>
    </row>
    <row r="110" spans="1:22" ht="18" customHeight="1" x14ac:dyDescent="0.2"/>
    <row r="111" spans="1:22" ht="18" customHeight="1" x14ac:dyDescent="0.2"/>
    <row r="112" spans="1:22" ht="21" customHeight="1" x14ac:dyDescent="0.2">
      <c r="A112" s="97" t="s">
        <v>222</v>
      </c>
      <c r="B112" s="98"/>
      <c r="C112" s="98"/>
      <c r="D112" s="98"/>
      <c r="E112" s="98"/>
      <c r="F112" s="98"/>
      <c r="G112" s="98"/>
      <c r="H112" s="98"/>
      <c r="I112" s="98"/>
      <c r="J112" s="98"/>
      <c r="K112" s="98"/>
      <c r="L112" s="98"/>
      <c r="M112" s="98"/>
      <c r="N112" s="98"/>
      <c r="O112" s="98"/>
      <c r="P112" s="98"/>
      <c r="Q112" s="98"/>
      <c r="R112" s="98"/>
      <c r="S112" s="98"/>
      <c r="T112" s="98"/>
      <c r="U112" s="98"/>
      <c r="V112" s="98"/>
    </row>
    <row r="113" spans="1:13" ht="18" customHeight="1" x14ac:dyDescent="0.2">
      <c r="A113" s="112" t="s">
        <v>223</v>
      </c>
      <c r="B113" s="91" t="s">
        <v>224</v>
      </c>
    </row>
    <row r="114" spans="1:13" ht="18" customHeight="1" x14ac:dyDescent="0.2">
      <c r="A114" s="113" t="s">
        <v>225</v>
      </c>
      <c r="B114" s="114" t="s">
        <v>226</v>
      </c>
      <c r="J114" s="8"/>
      <c r="K114" s="8"/>
      <c r="L114" s="8"/>
      <c r="M114" s="8"/>
    </row>
    <row r="115" spans="1:13" ht="18" customHeight="1" x14ac:dyDescent="0.2">
      <c r="A115" s="115" t="s">
        <v>227</v>
      </c>
      <c r="B115" s="91" t="s">
        <v>228</v>
      </c>
      <c r="J115"/>
      <c r="K115" s="8"/>
      <c r="M115"/>
    </row>
  </sheetData>
  <mergeCells count="5">
    <mergeCell ref="B85:G93"/>
    <mergeCell ref="A1:B1"/>
    <mergeCell ref="A2:B2"/>
    <mergeCell ref="C18:G20"/>
    <mergeCell ref="C39:G4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5011B-9096-7F49-9F2E-628B82FE68F0}">
  <dimension ref="A1:W192"/>
  <sheetViews>
    <sheetView showGridLines="0" zoomScale="67" zoomScaleNormal="30" workbookViewId="0">
      <pane xSplit="2" ySplit="6" topLeftCell="C7" activePane="bottomRight" state="frozen"/>
      <selection pane="topRight" activeCell="C1" sqref="C1"/>
      <selection pane="bottomLeft" activeCell="A7" sqref="A7"/>
      <selection pane="bottomRight" activeCell="B59" sqref="B59"/>
    </sheetView>
  </sheetViews>
  <sheetFormatPr baseColWidth="10" defaultColWidth="8.83203125" defaultRowHeight="16" x14ac:dyDescent="0.2"/>
  <cols>
    <col min="1" max="1" width="56.33203125" style="19" customWidth="1"/>
    <col min="2" max="2" width="20" style="56" customWidth="1"/>
    <col min="3" max="3" width="16" style="19" customWidth="1"/>
    <col min="4" max="7" width="3" style="19" customWidth="1"/>
    <col min="8" max="22" width="14" style="19" customWidth="1"/>
    <col min="23" max="16384" width="8.83203125" style="320"/>
  </cols>
  <sheetData>
    <row r="1" spans="1:22" ht="32" customHeight="1" x14ac:dyDescent="0.2">
      <c r="A1" s="258" t="s">
        <v>105</v>
      </c>
      <c r="B1" s="258"/>
      <c r="C1" s="58"/>
      <c r="D1" s="58"/>
      <c r="E1" s="58"/>
      <c r="F1" s="58"/>
      <c r="G1" s="58"/>
      <c r="H1" s="58"/>
      <c r="I1" s="58"/>
      <c r="J1" s="58"/>
      <c r="K1" s="58"/>
      <c r="L1" s="58"/>
      <c r="M1" s="58"/>
      <c r="N1" s="58"/>
      <c r="O1" s="58"/>
      <c r="P1" s="58"/>
      <c r="Q1" s="58"/>
      <c r="R1" s="58"/>
      <c r="S1" s="58"/>
      <c r="T1" s="58"/>
      <c r="U1" s="58"/>
      <c r="V1" s="58"/>
    </row>
    <row r="2" spans="1:22" ht="24" customHeight="1" x14ac:dyDescent="0.2">
      <c r="A2" s="259" t="s">
        <v>322</v>
      </c>
      <c r="B2" s="259"/>
      <c r="C2" s="58"/>
      <c r="D2" s="58"/>
      <c r="E2" s="58"/>
      <c r="F2" s="58"/>
      <c r="G2" s="58"/>
      <c r="H2" s="58"/>
      <c r="I2" s="58"/>
      <c r="J2" s="58"/>
      <c r="K2" s="58"/>
      <c r="L2" s="58"/>
      <c r="M2" s="58"/>
      <c r="N2" s="58"/>
      <c r="O2" s="58"/>
      <c r="P2" s="58"/>
      <c r="Q2" s="58"/>
      <c r="R2" s="58"/>
      <c r="S2" s="58"/>
      <c r="T2" s="58"/>
      <c r="U2" s="58"/>
      <c r="V2" s="58"/>
    </row>
    <row r="3" spans="1:22" ht="17" customHeight="1" x14ac:dyDescent="0.2">
      <c r="A3" s="59"/>
      <c r="B3" s="60"/>
      <c r="C3" s="67" t="s">
        <v>106</v>
      </c>
      <c r="D3" s="58"/>
      <c r="E3" s="58"/>
      <c r="F3" s="58"/>
      <c r="G3" s="58"/>
      <c r="H3" s="65">
        <v>43922</v>
      </c>
      <c r="I3" s="65">
        <v>44287</v>
      </c>
      <c r="J3" s="65">
        <v>44652</v>
      </c>
      <c r="K3" s="65">
        <v>45017</v>
      </c>
      <c r="L3" s="65">
        <v>45383</v>
      </c>
      <c r="M3" s="65">
        <v>45748</v>
      </c>
      <c r="N3" s="65">
        <v>46113</v>
      </c>
      <c r="O3" s="65">
        <v>46478</v>
      </c>
      <c r="P3" s="65">
        <v>46844</v>
      </c>
      <c r="Q3" s="65">
        <v>47209</v>
      </c>
      <c r="R3" s="65">
        <v>47574</v>
      </c>
      <c r="S3" s="65">
        <v>47939</v>
      </c>
      <c r="T3" s="65">
        <v>48305</v>
      </c>
      <c r="U3" s="65">
        <v>48670</v>
      </c>
      <c r="V3" s="65">
        <v>49035</v>
      </c>
    </row>
    <row r="4" spans="1:22" ht="17" customHeight="1" x14ac:dyDescent="0.2">
      <c r="A4" s="59"/>
      <c r="B4" s="60"/>
      <c r="C4" s="67" t="s">
        <v>107</v>
      </c>
      <c r="D4" s="58"/>
      <c r="E4" s="58"/>
      <c r="F4" s="58"/>
      <c r="G4" s="58"/>
      <c r="H4" s="65">
        <v>44286</v>
      </c>
      <c r="I4" s="65">
        <v>44651</v>
      </c>
      <c r="J4" s="65">
        <v>45016</v>
      </c>
      <c r="K4" s="65">
        <v>45382</v>
      </c>
      <c r="L4" s="65">
        <v>45747</v>
      </c>
      <c r="M4" s="65">
        <v>46112</v>
      </c>
      <c r="N4" s="65">
        <v>46477</v>
      </c>
      <c r="O4" s="65">
        <v>46843</v>
      </c>
      <c r="P4" s="65">
        <v>47208</v>
      </c>
      <c r="Q4" s="65">
        <v>47573</v>
      </c>
      <c r="R4" s="65">
        <v>47938</v>
      </c>
      <c r="S4" s="65">
        <v>48304</v>
      </c>
      <c r="T4" s="65">
        <v>48669</v>
      </c>
      <c r="U4" s="65">
        <v>49034</v>
      </c>
      <c r="V4" s="65">
        <v>49399</v>
      </c>
    </row>
    <row r="5" spans="1:22" ht="17" customHeight="1" x14ac:dyDescent="0.2">
      <c r="A5" s="59"/>
      <c r="B5" s="60"/>
      <c r="C5" s="67" t="s">
        <v>108</v>
      </c>
      <c r="D5" s="58"/>
      <c r="E5" s="58"/>
      <c r="F5" s="58"/>
      <c r="G5" s="58"/>
      <c r="H5" s="66" t="s">
        <v>109</v>
      </c>
      <c r="I5" s="66" t="s">
        <v>109</v>
      </c>
      <c r="J5" s="66" t="s">
        <v>109</v>
      </c>
      <c r="K5" s="66" t="s">
        <v>109</v>
      </c>
      <c r="L5" s="66" t="s">
        <v>109</v>
      </c>
      <c r="M5" s="66" t="s">
        <v>103</v>
      </c>
      <c r="N5" s="66" t="s">
        <v>103</v>
      </c>
      <c r="O5" s="66" t="s">
        <v>103</v>
      </c>
      <c r="P5" s="66" t="s">
        <v>103</v>
      </c>
      <c r="Q5" s="66" t="s">
        <v>103</v>
      </c>
      <c r="R5" s="66" t="s">
        <v>103</v>
      </c>
      <c r="S5" s="66" t="s">
        <v>103</v>
      </c>
      <c r="T5" s="66" t="s">
        <v>103</v>
      </c>
      <c r="U5" s="66" t="s">
        <v>103</v>
      </c>
      <c r="V5" s="66" t="s">
        <v>103</v>
      </c>
    </row>
    <row r="6" spans="1:22" ht="17" customHeight="1" x14ac:dyDescent="0.2">
      <c r="A6" s="59"/>
      <c r="B6" s="60"/>
      <c r="C6" s="67" t="s">
        <v>138</v>
      </c>
      <c r="D6" s="58"/>
      <c r="E6" s="58"/>
      <c r="F6" s="58"/>
      <c r="G6" s="58"/>
      <c r="H6" s="66">
        <f>H4-H3+1</f>
        <v>365</v>
      </c>
      <c r="I6" s="66">
        <f t="shared" ref="I6:V6" si="0">I4-I3+1</f>
        <v>365</v>
      </c>
      <c r="J6" s="66">
        <f t="shared" si="0"/>
        <v>365</v>
      </c>
      <c r="K6" s="66">
        <f t="shared" si="0"/>
        <v>366</v>
      </c>
      <c r="L6" s="66">
        <f t="shared" si="0"/>
        <v>365</v>
      </c>
      <c r="M6" s="66">
        <f t="shared" si="0"/>
        <v>365</v>
      </c>
      <c r="N6" s="66">
        <f t="shared" si="0"/>
        <v>365</v>
      </c>
      <c r="O6" s="66">
        <f t="shared" si="0"/>
        <v>366</v>
      </c>
      <c r="P6" s="66">
        <f t="shared" si="0"/>
        <v>365</v>
      </c>
      <c r="Q6" s="66">
        <f t="shared" si="0"/>
        <v>365</v>
      </c>
      <c r="R6" s="66">
        <f t="shared" si="0"/>
        <v>365</v>
      </c>
      <c r="S6" s="66">
        <f t="shared" si="0"/>
        <v>366</v>
      </c>
      <c r="T6" s="66">
        <f t="shared" si="0"/>
        <v>365</v>
      </c>
      <c r="U6" s="66">
        <f t="shared" si="0"/>
        <v>365</v>
      </c>
      <c r="V6" s="66">
        <f t="shared" si="0"/>
        <v>365</v>
      </c>
    </row>
    <row r="7" spans="1:22" s="321" customFormat="1" ht="20" customHeight="1" x14ac:dyDescent="0.2">
      <c r="A7" s="69" t="s">
        <v>110</v>
      </c>
      <c r="B7" s="36"/>
      <c r="C7" s="37"/>
      <c r="D7" s="37"/>
      <c r="E7" s="37"/>
      <c r="F7" s="37"/>
      <c r="G7" s="37"/>
      <c r="H7" s="37"/>
      <c r="I7" s="37"/>
      <c r="J7" s="37"/>
      <c r="K7" s="37"/>
      <c r="L7" s="37"/>
      <c r="M7" s="37"/>
      <c r="N7" s="37"/>
      <c r="O7" s="37"/>
      <c r="P7" s="37"/>
      <c r="Q7" s="37"/>
      <c r="R7" s="37"/>
      <c r="S7" s="37"/>
      <c r="T7" s="37"/>
      <c r="U7" s="37"/>
      <c r="V7" s="37"/>
    </row>
    <row r="8" spans="1:22" ht="8" customHeight="1" x14ac:dyDescent="0.2">
      <c r="A8" s="20"/>
      <c r="B8" s="53"/>
      <c r="C8" s="21"/>
      <c r="D8" s="21"/>
      <c r="E8" s="21"/>
      <c r="F8" s="21"/>
      <c r="G8" s="21"/>
      <c r="H8" s="21"/>
      <c r="I8" s="21"/>
      <c r="J8" s="21"/>
      <c r="K8" s="21"/>
      <c r="L8" s="21"/>
      <c r="M8" s="21"/>
      <c r="N8" s="21"/>
      <c r="O8" s="21"/>
      <c r="P8" s="21"/>
      <c r="Q8" s="21"/>
      <c r="R8" s="21"/>
      <c r="S8" s="21"/>
      <c r="T8" s="21"/>
      <c r="U8" s="21"/>
      <c r="V8" s="21"/>
    </row>
    <row r="9" spans="1:22" ht="17" customHeight="1" x14ac:dyDescent="0.2">
      <c r="A9" s="22" t="s">
        <v>111</v>
      </c>
      <c r="B9" s="54" t="s">
        <v>112</v>
      </c>
      <c r="C9" s="64">
        <v>43922</v>
      </c>
      <c r="D9" s="21"/>
      <c r="E9" s="21"/>
      <c r="F9" s="21"/>
      <c r="G9" s="21"/>
      <c r="H9" s="24"/>
      <c r="I9" s="24"/>
      <c r="J9" s="24"/>
      <c r="K9" s="24"/>
      <c r="L9" s="24"/>
      <c r="M9" s="24"/>
      <c r="N9" s="24"/>
      <c r="O9" s="24"/>
      <c r="P9" s="24"/>
      <c r="Q9" s="24"/>
      <c r="R9" s="24"/>
      <c r="S9" s="24"/>
      <c r="T9" s="24"/>
      <c r="U9" s="24"/>
      <c r="V9" s="24"/>
    </row>
    <row r="10" spans="1:22" ht="17" customHeight="1" x14ac:dyDescent="0.2">
      <c r="A10" s="22" t="s">
        <v>113</v>
      </c>
      <c r="B10" s="54" t="s">
        <v>114</v>
      </c>
      <c r="C10" s="23">
        <v>12</v>
      </c>
      <c r="D10" s="21"/>
      <c r="E10" s="21"/>
      <c r="F10" s="21"/>
      <c r="G10" s="21"/>
      <c r="H10" s="24"/>
      <c r="I10" s="24"/>
      <c r="J10" s="24"/>
      <c r="K10" s="24"/>
      <c r="L10" s="24"/>
      <c r="M10" s="24"/>
      <c r="N10" s="24"/>
      <c r="O10" s="24"/>
      <c r="P10" s="24"/>
      <c r="Q10" s="24"/>
      <c r="R10" s="24"/>
      <c r="S10" s="24"/>
      <c r="T10" s="24"/>
      <c r="U10" s="24"/>
      <c r="V10" s="24"/>
    </row>
    <row r="11" spans="1:22" ht="17" customHeight="1" x14ac:dyDescent="0.2">
      <c r="A11" s="22" t="s">
        <v>115</v>
      </c>
      <c r="B11" s="54" t="s">
        <v>112</v>
      </c>
      <c r="C11" s="64">
        <v>45748</v>
      </c>
      <c r="D11" s="21"/>
      <c r="E11" s="21"/>
      <c r="F11" s="21"/>
      <c r="G11" s="21"/>
      <c r="H11" s="24"/>
      <c r="I11" s="24"/>
      <c r="J11" s="24"/>
      <c r="K11" s="24"/>
      <c r="L11" s="24"/>
      <c r="M11" s="24"/>
      <c r="N11" s="24"/>
      <c r="O11" s="24"/>
      <c r="P11" s="24"/>
      <c r="Q11" s="24"/>
      <c r="R11" s="24"/>
      <c r="S11" s="24"/>
      <c r="T11" s="24"/>
      <c r="U11" s="24"/>
      <c r="V11" s="24"/>
    </row>
    <row r="12" spans="1:22" ht="17" customHeight="1" x14ac:dyDescent="0.2">
      <c r="A12" s="22" t="s">
        <v>116</v>
      </c>
      <c r="B12" s="54" t="s">
        <v>114</v>
      </c>
      <c r="C12" s="23">
        <v>10</v>
      </c>
      <c r="D12" s="21"/>
      <c r="E12" s="21"/>
      <c r="F12" s="21"/>
      <c r="G12" s="21"/>
      <c r="H12" s="24"/>
      <c r="I12" s="24"/>
      <c r="J12" s="24"/>
      <c r="K12" s="24"/>
      <c r="L12" s="24"/>
      <c r="M12" s="24"/>
      <c r="N12" s="24"/>
      <c r="O12" s="24"/>
      <c r="P12" s="24"/>
      <c r="Q12" s="24"/>
      <c r="R12" s="24"/>
      <c r="S12" s="24"/>
      <c r="T12" s="24"/>
      <c r="U12" s="24"/>
      <c r="V12" s="24"/>
    </row>
    <row r="13" spans="1:22" ht="8" customHeight="1" x14ac:dyDescent="0.2">
      <c r="A13" s="20"/>
      <c r="B13" s="53"/>
      <c r="C13" s="21"/>
      <c r="D13" s="21"/>
      <c r="E13" s="21"/>
      <c r="F13" s="21"/>
      <c r="G13" s="21"/>
      <c r="H13" s="21"/>
      <c r="I13" s="21"/>
      <c r="J13" s="21"/>
      <c r="K13" s="21"/>
      <c r="L13" s="21"/>
      <c r="M13" s="21"/>
      <c r="N13" s="21"/>
      <c r="O13" s="21"/>
      <c r="P13" s="21"/>
      <c r="Q13" s="21"/>
      <c r="R13" s="21"/>
      <c r="S13" s="21"/>
      <c r="T13" s="21"/>
      <c r="U13" s="21"/>
      <c r="V13" s="21"/>
    </row>
    <row r="14" spans="1:22" ht="8" customHeight="1" x14ac:dyDescent="0.2">
      <c r="A14" s="20"/>
      <c r="B14" s="53"/>
      <c r="C14" s="21"/>
      <c r="D14" s="21"/>
      <c r="E14" s="21"/>
      <c r="F14" s="21"/>
      <c r="G14" s="21"/>
      <c r="H14" s="21"/>
      <c r="I14" s="21"/>
      <c r="J14" s="21"/>
      <c r="K14" s="21"/>
      <c r="L14" s="21"/>
      <c r="M14" s="21"/>
      <c r="N14" s="21"/>
      <c r="O14" s="21"/>
      <c r="P14" s="21"/>
      <c r="Q14" s="21"/>
      <c r="R14" s="21"/>
      <c r="S14" s="21"/>
      <c r="T14" s="21"/>
      <c r="U14" s="21"/>
      <c r="V14" s="21"/>
    </row>
    <row r="15" spans="1:22" s="321" customFormat="1" ht="20" customHeight="1" x14ac:dyDescent="0.2">
      <c r="A15" s="69" t="s">
        <v>102</v>
      </c>
      <c r="B15" s="36"/>
      <c r="C15" s="37"/>
      <c r="D15" s="37"/>
      <c r="E15" s="37"/>
      <c r="F15" s="37"/>
      <c r="G15" s="37"/>
      <c r="H15" s="37"/>
      <c r="I15" s="37"/>
      <c r="J15" s="37"/>
      <c r="K15" s="37"/>
      <c r="L15" s="37"/>
      <c r="M15" s="37"/>
      <c r="N15" s="37"/>
      <c r="O15" s="37"/>
      <c r="P15" s="37"/>
      <c r="Q15" s="37"/>
      <c r="R15" s="37"/>
      <c r="S15" s="37"/>
      <c r="T15" s="37"/>
      <c r="U15" s="37"/>
      <c r="V15" s="37"/>
    </row>
    <row r="16" spans="1:22" ht="17" customHeight="1" x14ac:dyDescent="0.2">
      <c r="A16" s="25" t="s">
        <v>117</v>
      </c>
      <c r="B16" s="53"/>
      <c r="C16" s="21"/>
      <c r="D16" s="21"/>
      <c r="E16" s="21"/>
      <c r="F16" s="21"/>
      <c r="G16" s="21"/>
      <c r="M16" s="21"/>
      <c r="N16" s="21"/>
      <c r="O16" s="21"/>
      <c r="P16" s="21"/>
      <c r="Q16" s="21"/>
      <c r="R16" s="21"/>
      <c r="S16" s="21"/>
      <c r="T16" s="21"/>
      <c r="U16" s="21"/>
      <c r="V16" s="21"/>
    </row>
    <row r="17" spans="1:22" ht="17" customHeight="1" x14ac:dyDescent="0.2">
      <c r="A17" s="26" t="s">
        <v>49</v>
      </c>
      <c r="B17" s="55" t="s">
        <v>118</v>
      </c>
      <c r="C17" s="27"/>
      <c r="D17" s="27"/>
      <c r="E17" s="27"/>
      <c r="F17" s="27"/>
      <c r="G17" s="27"/>
      <c r="H17" s="52">
        <f>'Income Statement-Historic'!C12</f>
        <v>1018576</v>
      </c>
      <c r="I17" s="52">
        <f>'Income Statement-Historic'!D12</f>
        <v>1312392</v>
      </c>
      <c r="J17" s="52">
        <f>'Income Statement-Historic'!E12</f>
        <v>1665109</v>
      </c>
      <c r="K17" s="52">
        <f>'Income Statement-Historic'!F12</f>
        <v>1837953</v>
      </c>
      <c r="L17" s="52">
        <f>'Income Statement-Historic'!G12</f>
        <v>1940854</v>
      </c>
      <c r="M17" s="42">
        <f>L17*(1+M18)</f>
        <v>2076713.78</v>
      </c>
      <c r="N17" s="42">
        <f t="shared" ref="N17:V17" si="1">M17*(1+N18)</f>
        <v>2222083.7446000003</v>
      </c>
      <c r="O17" s="42">
        <f t="shared" si="1"/>
        <v>2366519.1879990003</v>
      </c>
      <c r="P17" s="42">
        <f t="shared" si="1"/>
        <v>2520342.9352189354</v>
      </c>
      <c r="Q17" s="42">
        <f t="shared" si="1"/>
        <v>2671563.5113320719</v>
      </c>
      <c r="R17" s="42">
        <f t="shared" si="1"/>
        <v>2831857.3220119965</v>
      </c>
      <c r="S17" s="42">
        <f t="shared" si="1"/>
        <v>2987609.474722656</v>
      </c>
      <c r="T17" s="42">
        <f t="shared" si="1"/>
        <v>3151927.9958324018</v>
      </c>
      <c r="U17" s="42">
        <f t="shared" si="1"/>
        <v>3309524.395624022</v>
      </c>
      <c r="V17" s="42">
        <f t="shared" si="1"/>
        <v>3475000.6154052233</v>
      </c>
    </row>
    <row r="18" spans="1:22" ht="17" customHeight="1" x14ac:dyDescent="0.2">
      <c r="A18" s="26" t="s">
        <v>119</v>
      </c>
      <c r="B18" s="55" t="s">
        <v>120</v>
      </c>
      <c r="C18" s="30"/>
      <c r="D18" s="30"/>
      <c r="E18" s="30"/>
      <c r="F18" s="30"/>
      <c r="G18" s="30"/>
      <c r="H18" s="31"/>
      <c r="I18" s="40">
        <f>I17/H17-1</f>
        <v>0.28845761141043957</v>
      </c>
      <c r="J18" s="40">
        <f t="shared" ref="J18:L18" si="2">J17/I17-1</f>
        <v>0.26875887692091993</v>
      </c>
      <c r="K18" s="40">
        <f t="shared" si="2"/>
        <v>0.10380341467135179</v>
      </c>
      <c r="L18" s="40">
        <f t="shared" si="2"/>
        <v>5.5986741771960391E-2</v>
      </c>
      <c r="M18" s="32">
        <v>7.0000000000000007E-2</v>
      </c>
      <c r="N18" s="32">
        <v>7.0000000000000007E-2</v>
      </c>
      <c r="O18" s="32">
        <v>6.5000000000000002E-2</v>
      </c>
      <c r="P18" s="32">
        <v>6.5000000000000002E-2</v>
      </c>
      <c r="Q18" s="32">
        <v>0.06</v>
      </c>
      <c r="R18" s="32">
        <v>0.06</v>
      </c>
      <c r="S18" s="32">
        <v>5.5E-2</v>
      </c>
      <c r="T18" s="32">
        <v>5.5E-2</v>
      </c>
      <c r="U18" s="32">
        <v>0.05</v>
      </c>
      <c r="V18" s="32">
        <v>0.05</v>
      </c>
    </row>
    <row r="19" spans="1:22" ht="17" customHeight="1" x14ac:dyDescent="0.2">
      <c r="A19" s="26" t="s">
        <v>51</v>
      </c>
      <c r="B19" s="55" t="s">
        <v>118</v>
      </c>
      <c r="C19" s="27"/>
      <c r="D19" s="27"/>
      <c r="E19" s="27"/>
      <c r="F19" s="27"/>
      <c r="G19" s="27"/>
      <c r="H19" s="51">
        <f>'Income Statement-Historic'!C13</f>
        <v>5025</v>
      </c>
      <c r="I19" s="41">
        <f>'Income Statement-Historic'!D13</f>
        <v>2979</v>
      </c>
      <c r="J19" s="41">
        <f>'Income Statement-Historic'!E13</f>
        <v>4943</v>
      </c>
      <c r="K19" s="41">
        <f>'Income Statement-Historic'!F13</f>
        <v>7374</v>
      </c>
      <c r="L19" s="41">
        <f>'Income Statement-Historic'!G13</f>
        <v>3590</v>
      </c>
      <c r="M19" s="43">
        <f>M17*M20</f>
        <v>6659.4424280250187</v>
      </c>
      <c r="N19" s="43">
        <f t="shared" ref="N19:V19" si="3">N17*N20</f>
        <v>7125.6033979867707</v>
      </c>
      <c r="O19" s="43">
        <f t="shared" si="3"/>
        <v>7588.7676188559108</v>
      </c>
      <c r="P19" s="43">
        <f t="shared" si="3"/>
        <v>8082.0375140815449</v>
      </c>
      <c r="Q19" s="43">
        <f t="shared" si="3"/>
        <v>8566.9597649264397</v>
      </c>
      <c r="R19" s="43">
        <f t="shared" si="3"/>
        <v>9080.977350822026</v>
      </c>
      <c r="S19" s="43">
        <f t="shared" si="3"/>
        <v>9580.4311051172372</v>
      </c>
      <c r="T19" s="43">
        <f t="shared" si="3"/>
        <v>10107.354815898685</v>
      </c>
      <c r="U19" s="43">
        <f t="shared" si="3"/>
        <v>10612.722556693619</v>
      </c>
      <c r="V19" s="43">
        <f t="shared" si="3"/>
        <v>11143.358684528301</v>
      </c>
    </row>
    <row r="20" spans="1:22" ht="17" customHeight="1" x14ac:dyDescent="0.2">
      <c r="A20" s="26" t="s">
        <v>104</v>
      </c>
      <c r="B20" s="55" t="s">
        <v>120</v>
      </c>
      <c r="C20" s="30"/>
      <c r="D20" s="30"/>
      <c r="E20" s="30"/>
      <c r="F20" s="30"/>
      <c r="G20" s="30"/>
      <c r="H20" s="31">
        <f>H19/H17</f>
        <v>4.9333579428535524E-3</v>
      </c>
      <c r="I20" s="31">
        <f t="shared" ref="I20:L20" si="4">I19/I17</f>
        <v>2.2699010661448712E-3</v>
      </c>
      <c r="J20" s="31">
        <f t="shared" si="4"/>
        <v>2.9685744296619621E-3</v>
      </c>
      <c r="K20" s="31">
        <f t="shared" si="4"/>
        <v>4.0120721258922291E-3</v>
      </c>
      <c r="L20" s="31">
        <f t="shared" si="4"/>
        <v>1.8497012140016715E-3</v>
      </c>
      <c r="M20" s="32">
        <f>AVERAGE(H20:L20)</f>
        <v>3.2067213557108571E-3</v>
      </c>
      <c r="N20" s="32">
        <f>$M$20</f>
        <v>3.2067213557108571E-3</v>
      </c>
      <c r="O20" s="32">
        <f t="shared" ref="O20:V20" si="5">$M$20</f>
        <v>3.2067213557108571E-3</v>
      </c>
      <c r="P20" s="32">
        <f t="shared" si="5"/>
        <v>3.2067213557108571E-3</v>
      </c>
      <c r="Q20" s="32">
        <f t="shared" si="5"/>
        <v>3.2067213557108571E-3</v>
      </c>
      <c r="R20" s="32">
        <f t="shared" si="5"/>
        <v>3.2067213557108571E-3</v>
      </c>
      <c r="S20" s="32">
        <f t="shared" si="5"/>
        <v>3.2067213557108571E-3</v>
      </c>
      <c r="T20" s="32">
        <f t="shared" si="5"/>
        <v>3.2067213557108571E-3</v>
      </c>
      <c r="U20" s="32">
        <f t="shared" si="5"/>
        <v>3.2067213557108571E-3</v>
      </c>
      <c r="V20" s="32">
        <f t="shared" si="5"/>
        <v>3.2067213557108571E-3</v>
      </c>
    </row>
    <row r="21" spans="1:22" ht="17" customHeight="1" x14ac:dyDescent="0.2">
      <c r="A21" s="48" t="s">
        <v>157</v>
      </c>
      <c r="B21" s="54"/>
      <c r="C21" s="45"/>
      <c r="D21" s="45"/>
      <c r="E21" s="45"/>
      <c r="F21" s="45"/>
      <c r="G21" s="45"/>
      <c r="H21" s="49">
        <f>SUM(H19,H17)</f>
        <v>1023601</v>
      </c>
      <c r="I21" s="49">
        <f t="shared" ref="I21:L21" si="6">SUM(I19,I17)</f>
        <v>1315371</v>
      </c>
      <c r="J21" s="49">
        <f t="shared" si="6"/>
        <v>1670052</v>
      </c>
      <c r="K21" s="49">
        <f t="shared" si="6"/>
        <v>1845327</v>
      </c>
      <c r="L21" s="49">
        <f t="shared" si="6"/>
        <v>1944444</v>
      </c>
      <c r="M21" s="62">
        <f>SUM(M19,M17)</f>
        <v>2083373.222428025</v>
      </c>
      <c r="N21" s="62">
        <f t="shared" ref="N21:V21" si="7">SUM(N19,N17)</f>
        <v>2229209.3479979872</v>
      </c>
      <c r="O21" s="62">
        <f t="shared" si="7"/>
        <v>2374107.9556178562</v>
      </c>
      <c r="P21" s="62">
        <f t="shared" si="7"/>
        <v>2528424.9727330171</v>
      </c>
      <c r="Q21" s="62">
        <f t="shared" si="7"/>
        <v>2680130.4710969981</v>
      </c>
      <c r="R21" s="62">
        <f t="shared" si="7"/>
        <v>2840938.2993628187</v>
      </c>
      <c r="S21" s="62">
        <f t="shared" si="7"/>
        <v>2997189.9058277733</v>
      </c>
      <c r="T21" s="62">
        <f t="shared" si="7"/>
        <v>3162035.3506483003</v>
      </c>
      <c r="U21" s="62">
        <f t="shared" si="7"/>
        <v>3320137.1181807155</v>
      </c>
      <c r="V21" s="62">
        <f t="shared" si="7"/>
        <v>3486143.9740897515</v>
      </c>
    </row>
    <row r="22" spans="1:22" ht="13" customHeight="1" x14ac:dyDescent="0.2">
      <c r="A22" s="20"/>
      <c r="B22" s="53"/>
      <c r="C22" s="21"/>
      <c r="D22" s="21"/>
      <c r="E22" s="21"/>
      <c r="F22" s="21"/>
      <c r="G22" s="21"/>
      <c r="H22" s="21"/>
      <c r="I22" s="21"/>
      <c r="J22" s="21"/>
      <c r="K22" s="21"/>
      <c r="L22" s="21"/>
      <c r="M22" s="21"/>
      <c r="N22" s="21"/>
      <c r="O22" s="21"/>
      <c r="P22" s="21"/>
      <c r="Q22" s="21"/>
      <c r="R22" s="21"/>
      <c r="S22" s="21"/>
      <c r="T22" s="21"/>
      <c r="U22" s="21"/>
      <c r="V22" s="21"/>
    </row>
    <row r="23" spans="1:22" s="321" customFormat="1" ht="20" customHeight="1" x14ac:dyDescent="0.2">
      <c r="A23" s="69" t="s">
        <v>121</v>
      </c>
      <c r="B23" s="36"/>
      <c r="C23" s="37"/>
      <c r="D23" s="37"/>
      <c r="E23" s="37"/>
      <c r="F23" s="37"/>
      <c r="G23" s="37"/>
      <c r="H23" s="37"/>
      <c r="I23" s="37"/>
      <c r="J23" s="37"/>
      <c r="K23" s="37"/>
      <c r="L23" s="37"/>
      <c r="M23" s="37"/>
      <c r="N23" s="37"/>
      <c r="O23" s="37"/>
      <c r="P23" s="37"/>
      <c r="Q23" s="37"/>
      <c r="R23" s="37"/>
      <c r="S23" s="37"/>
      <c r="T23" s="37"/>
      <c r="U23" s="37"/>
      <c r="V23" s="37"/>
    </row>
    <row r="24" spans="1:22" ht="17" customHeight="1" x14ac:dyDescent="0.2">
      <c r="A24" s="68" t="s">
        <v>122</v>
      </c>
      <c r="B24" s="53"/>
      <c r="C24" s="21"/>
      <c r="D24" s="21"/>
      <c r="E24" s="21"/>
      <c r="F24" s="21"/>
      <c r="G24" s="21"/>
      <c r="H24" s="21"/>
      <c r="I24" s="21"/>
      <c r="J24" s="21"/>
      <c r="K24" s="21"/>
      <c r="L24" s="21"/>
      <c r="M24" s="21"/>
      <c r="N24" s="21"/>
      <c r="O24" s="21"/>
      <c r="P24" s="21"/>
      <c r="Q24" s="21"/>
      <c r="R24" s="21"/>
      <c r="S24" s="21"/>
      <c r="T24" s="21"/>
      <c r="U24" s="21"/>
      <c r="V24" s="21"/>
    </row>
    <row r="25" spans="1:22" ht="17" customHeight="1" x14ac:dyDescent="0.2">
      <c r="A25" s="26" t="s">
        <v>55</v>
      </c>
      <c r="B25" s="55" t="s">
        <v>118</v>
      </c>
      <c r="C25" s="27"/>
      <c r="D25" s="27"/>
      <c r="E25" s="27"/>
      <c r="F25" s="27"/>
      <c r="G25" s="27"/>
      <c r="H25" s="41">
        <f>'Income Statement-Historic'!C17</f>
        <v>196516</v>
      </c>
      <c r="I25" s="41">
        <f>'Income Statement-Historic'!D17</f>
        <v>270729</v>
      </c>
      <c r="J25" s="41">
        <f>'Income Statement-Historic'!E17</f>
        <v>422476</v>
      </c>
      <c r="K25" s="41">
        <f>'Income Statement-Historic'!F17</f>
        <v>456755</v>
      </c>
      <c r="L25" s="41">
        <f>'Income Statement-Historic'!G17</f>
        <v>493673</v>
      </c>
      <c r="M25" s="43">
        <f>M17*M26</f>
        <v>480058.57485042565</v>
      </c>
      <c r="N25" s="43">
        <f t="shared" ref="N25:V25" si="8">N17*N26</f>
        <v>503389.42158815637</v>
      </c>
      <c r="O25" s="43">
        <f t="shared" si="8"/>
        <v>509304.24729181721</v>
      </c>
      <c r="P25" s="43">
        <f t="shared" si="8"/>
        <v>520712.66243115388</v>
      </c>
      <c r="Q25" s="43">
        <f t="shared" si="8"/>
        <v>529877.20528994233</v>
      </c>
      <c r="R25" s="43">
        <f t="shared" si="8"/>
        <v>539203.04410304537</v>
      </c>
      <c r="S25" s="43">
        <f t="shared" si="8"/>
        <v>568859.21152871277</v>
      </c>
      <c r="T25" s="43">
        <f t="shared" si="8"/>
        <v>600146.46816279192</v>
      </c>
      <c r="U25" s="43">
        <f t="shared" si="8"/>
        <v>630153.79157093156</v>
      </c>
      <c r="V25" s="43">
        <f t="shared" si="8"/>
        <v>661661.48114947812</v>
      </c>
    </row>
    <row r="26" spans="1:22" ht="17" customHeight="1" x14ac:dyDescent="0.2">
      <c r="A26" s="26" t="s">
        <v>123</v>
      </c>
      <c r="B26" s="55" t="s">
        <v>124</v>
      </c>
      <c r="C26" s="30"/>
      <c r="D26" s="30"/>
      <c r="E26" s="30"/>
      <c r="F26" s="30"/>
      <c r="G26" s="30"/>
      <c r="H26" s="31">
        <f>H25/H17</f>
        <v>0.19293209343239975</v>
      </c>
      <c r="I26" s="31">
        <f t="shared" ref="I26:L26" si="9">I25/I17</f>
        <v>0.20628668873324432</v>
      </c>
      <c r="J26" s="31">
        <f t="shared" si="9"/>
        <v>0.25372272926276901</v>
      </c>
      <c r="K26" s="31">
        <f t="shared" si="9"/>
        <v>0.24851288362651275</v>
      </c>
      <c r="L26" s="31">
        <f t="shared" si="9"/>
        <v>0.25435864830636412</v>
      </c>
      <c r="M26" s="32">
        <f>AVERAGE(H26:L26)</f>
        <v>0.23116260867225796</v>
      </c>
      <c r="N26" s="32">
        <f>M26-(M26*2%)</f>
        <v>0.22653935649881279</v>
      </c>
      <c r="O26" s="32">
        <f>N26-(N26*5%)</f>
        <v>0.21521238867387216</v>
      </c>
      <c r="P26" s="32">
        <f>O26-(O26*4%)</f>
        <v>0.20660389312691727</v>
      </c>
      <c r="Q26" s="32">
        <f>P26-(P26*4%)</f>
        <v>0.19833973740184058</v>
      </c>
      <c r="R26" s="32">
        <f>Q26-(Q26*4%)</f>
        <v>0.19040614790576696</v>
      </c>
      <c r="S26" s="32">
        <f>R26</f>
        <v>0.19040614790576696</v>
      </c>
      <c r="T26" s="32">
        <f t="shared" ref="T26:V26" si="10">S26</f>
        <v>0.19040614790576696</v>
      </c>
      <c r="U26" s="32">
        <f t="shared" si="10"/>
        <v>0.19040614790576696</v>
      </c>
      <c r="V26" s="32">
        <f t="shared" si="10"/>
        <v>0.19040614790576696</v>
      </c>
    </row>
    <row r="27" spans="1:22" ht="17" customHeight="1" x14ac:dyDescent="0.2">
      <c r="A27" s="26" t="s">
        <v>57</v>
      </c>
      <c r="B27" s="55" t="s">
        <v>118</v>
      </c>
      <c r="C27" s="27"/>
      <c r="D27" s="27"/>
      <c r="E27" s="27"/>
      <c r="F27" s="27"/>
      <c r="G27" s="27"/>
      <c r="H27" s="41">
        <f>'Income Statement-Historic'!C18</f>
        <v>7371</v>
      </c>
      <c r="I27" s="41">
        <f>'Income Statement-Historic'!D18</f>
        <v>19582</v>
      </c>
      <c r="J27" s="41">
        <f>'Income Statement-Historic'!E18</f>
        <v>9247</v>
      </c>
      <c r="K27" s="41">
        <f>'Income Statement-Historic'!F18</f>
        <v>11825</v>
      </c>
      <c r="L27" s="41">
        <f>'Income Statement-Historic'!G18</f>
        <v>18174</v>
      </c>
      <c r="M27" s="43">
        <f>M17*M28</f>
        <v>18070.947624767105</v>
      </c>
      <c r="N27" s="43">
        <f t="shared" ref="N27:V27" si="11">N17*N28</f>
        <v>19335.913958500802</v>
      </c>
      <c r="O27" s="43">
        <f t="shared" si="11"/>
        <v>20592.748365803356</v>
      </c>
      <c r="P27" s="43">
        <f t="shared" si="11"/>
        <v>21931.277009580572</v>
      </c>
      <c r="Q27" s="43">
        <f t="shared" si="11"/>
        <v>23247.153630155412</v>
      </c>
      <c r="R27" s="43">
        <f t="shared" si="11"/>
        <v>24641.98284796474</v>
      </c>
      <c r="S27" s="43">
        <f t="shared" si="11"/>
        <v>25997.291904602796</v>
      </c>
      <c r="T27" s="43">
        <f t="shared" si="11"/>
        <v>27427.142959355948</v>
      </c>
      <c r="U27" s="43">
        <f t="shared" si="11"/>
        <v>28798.500107323747</v>
      </c>
      <c r="V27" s="43">
        <f t="shared" si="11"/>
        <v>30238.425112689936</v>
      </c>
    </row>
    <row r="28" spans="1:22" ht="17" customHeight="1" x14ac:dyDescent="0.2">
      <c r="A28" s="26" t="s">
        <v>123</v>
      </c>
      <c r="B28" s="55" t="s">
        <v>124</v>
      </c>
      <c r="C28" s="30"/>
      <c r="D28" s="30"/>
      <c r="E28" s="30"/>
      <c r="F28" s="30"/>
      <c r="G28" s="30"/>
      <c r="H28" s="31">
        <f>H27/H17</f>
        <v>7.2365734122932408E-3</v>
      </c>
      <c r="I28" s="31">
        <f t="shared" ref="I28:L28" si="12">I27/I17</f>
        <v>1.4920846820157391E-2</v>
      </c>
      <c r="J28" s="31">
        <f t="shared" si="12"/>
        <v>5.5533901984794985E-3</v>
      </c>
      <c r="K28" s="31">
        <f t="shared" si="12"/>
        <v>6.4337880239592636E-3</v>
      </c>
      <c r="L28" s="31">
        <f t="shared" si="12"/>
        <v>9.3639191819683502E-3</v>
      </c>
      <c r="M28" s="32">
        <f>AVERAGE(H28:L28)</f>
        <v>8.7017035273715491E-3</v>
      </c>
      <c r="N28" s="32">
        <f>$M$28</f>
        <v>8.7017035273715491E-3</v>
      </c>
      <c r="O28" s="32">
        <f t="shared" ref="O28:V28" si="13">$M$28</f>
        <v>8.7017035273715491E-3</v>
      </c>
      <c r="P28" s="32">
        <f t="shared" si="13"/>
        <v>8.7017035273715491E-3</v>
      </c>
      <c r="Q28" s="32">
        <f t="shared" si="13"/>
        <v>8.7017035273715491E-3</v>
      </c>
      <c r="R28" s="32">
        <f t="shared" si="13"/>
        <v>8.7017035273715491E-3</v>
      </c>
      <c r="S28" s="32">
        <f t="shared" si="13"/>
        <v>8.7017035273715491E-3</v>
      </c>
      <c r="T28" s="32">
        <f t="shared" si="13"/>
        <v>8.7017035273715491E-3</v>
      </c>
      <c r="U28" s="32">
        <f t="shared" si="13"/>
        <v>8.7017035273715491E-3</v>
      </c>
      <c r="V28" s="32">
        <f t="shared" si="13"/>
        <v>8.7017035273715491E-3</v>
      </c>
    </row>
    <row r="29" spans="1:22" ht="17" customHeight="1" x14ac:dyDescent="0.2">
      <c r="A29" s="26" t="s">
        <v>125</v>
      </c>
      <c r="B29" s="55" t="s">
        <v>118</v>
      </c>
      <c r="C29" s="27"/>
      <c r="D29" s="27"/>
      <c r="E29" s="27"/>
      <c r="F29" s="27"/>
      <c r="G29" s="27"/>
      <c r="H29" s="28">
        <f>'Income Statement-Historic'!C19</f>
        <v>-950</v>
      </c>
      <c r="I29" s="28">
        <f>'Income Statement-Historic'!D19</f>
        <v>2301</v>
      </c>
      <c r="J29" s="28">
        <f>'Income Statement-Historic'!E19</f>
        <v>-5187</v>
      </c>
      <c r="K29" s="28">
        <f>'Income Statement-Historic'!F19</f>
        <v>-3345</v>
      </c>
      <c r="L29" s="28">
        <f>'Income Statement-Historic'!G19</f>
        <v>-4996</v>
      </c>
      <c r="M29" s="43">
        <f>M17*M30</f>
        <v>-5345.7199999999993</v>
      </c>
      <c r="N29" s="43">
        <f t="shared" ref="N29:V29" si="14">N17*N30</f>
        <v>-5719.9204000000009</v>
      </c>
      <c r="O29" s="43">
        <f t="shared" si="14"/>
        <v>-6091.7152260000003</v>
      </c>
      <c r="P29" s="43">
        <f t="shared" si="14"/>
        <v>-6487.6767156900005</v>
      </c>
      <c r="Q29" s="43">
        <f t="shared" si="14"/>
        <v>-6876.9373186314015</v>
      </c>
      <c r="R29" s="43">
        <f t="shared" si="14"/>
        <v>-7289.5535577492865</v>
      </c>
      <c r="S29" s="43">
        <f t="shared" si="14"/>
        <v>-7690.4790034254966</v>
      </c>
      <c r="T29" s="43">
        <f t="shared" si="14"/>
        <v>-8113.4553486138984</v>
      </c>
      <c r="U29" s="43">
        <f t="shared" si="14"/>
        <v>-8519.1281160445924</v>
      </c>
      <c r="V29" s="43">
        <f t="shared" si="14"/>
        <v>-8945.0845218468239</v>
      </c>
    </row>
    <row r="30" spans="1:22" ht="17" customHeight="1" x14ac:dyDescent="0.2">
      <c r="A30" s="26" t="s">
        <v>126</v>
      </c>
      <c r="B30" s="55" t="s">
        <v>124</v>
      </c>
      <c r="C30" s="30"/>
      <c r="D30" s="30"/>
      <c r="E30" s="30"/>
      <c r="F30" s="30"/>
      <c r="G30" s="30"/>
      <c r="H30" s="31">
        <f>H29/H17</f>
        <v>-9.3267463596236316E-4</v>
      </c>
      <c r="I30" s="31">
        <f t="shared" ref="I30:L30" si="15">I29/I17</f>
        <v>1.7532871276265019E-3</v>
      </c>
      <c r="J30" s="31">
        <f t="shared" si="15"/>
        <v>-3.1151113830986438E-3</v>
      </c>
      <c r="K30" s="31">
        <f t="shared" si="15"/>
        <v>-1.8199594875385823E-3</v>
      </c>
      <c r="L30" s="31">
        <f t="shared" si="15"/>
        <v>-2.5741245863934122E-3</v>
      </c>
      <c r="M30" s="32">
        <f>L30</f>
        <v>-2.5741245863934122E-3</v>
      </c>
      <c r="N30" s="32">
        <f t="shared" ref="N30:V30" si="16">M30</f>
        <v>-2.5741245863934122E-3</v>
      </c>
      <c r="O30" s="32">
        <f t="shared" si="16"/>
        <v>-2.5741245863934122E-3</v>
      </c>
      <c r="P30" s="32">
        <f t="shared" si="16"/>
        <v>-2.5741245863934122E-3</v>
      </c>
      <c r="Q30" s="32">
        <f t="shared" si="16"/>
        <v>-2.5741245863934122E-3</v>
      </c>
      <c r="R30" s="32">
        <f t="shared" si="16"/>
        <v>-2.5741245863934122E-3</v>
      </c>
      <c r="S30" s="32">
        <f t="shared" si="16"/>
        <v>-2.5741245863934122E-3</v>
      </c>
      <c r="T30" s="32">
        <f t="shared" si="16"/>
        <v>-2.5741245863934122E-3</v>
      </c>
      <c r="U30" s="32">
        <f t="shared" si="16"/>
        <v>-2.5741245863934122E-3</v>
      </c>
      <c r="V30" s="32">
        <f t="shared" si="16"/>
        <v>-2.5741245863934122E-3</v>
      </c>
    </row>
    <row r="31" spans="1:22" ht="17" customHeight="1" x14ac:dyDescent="0.2">
      <c r="A31" s="26" t="s">
        <v>61</v>
      </c>
      <c r="B31" s="55" t="s">
        <v>118</v>
      </c>
      <c r="C31" s="27"/>
      <c r="D31" s="27"/>
      <c r="E31" s="27"/>
      <c r="F31" s="27"/>
      <c r="G31" s="27"/>
      <c r="H31" s="41">
        <f>'Income Statement-Historic'!C20</f>
        <v>594267</v>
      </c>
      <c r="I31" s="41">
        <f>'Income Statement-Historic'!D20</f>
        <v>728548</v>
      </c>
      <c r="J31" s="41">
        <f>'Income Statement-Historic'!E20</f>
        <v>915117</v>
      </c>
      <c r="K31" s="41">
        <f>'Income Statement-Historic'!F20</f>
        <v>1025685</v>
      </c>
      <c r="L31" s="41">
        <f>'Income Statement-Historic'!G20</f>
        <v>1049345</v>
      </c>
      <c r="M31" s="43">
        <f>M17*M32</f>
        <v>1157503.2558156415</v>
      </c>
      <c r="N31" s="43">
        <f t="shared" ref="N31:V31" si="17">N17*N32</f>
        <v>1238528.4837227366</v>
      </c>
      <c r="O31" s="43">
        <f t="shared" si="17"/>
        <v>1305842.5068130672</v>
      </c>
      <c r="P31" s="43">
        <f t="shared" si="17"/>
        <v>1376815.0470583574</v>
      </c>
      <c r="Q31" s="43">
        <f t="shared" si="17"/>
        <v>1444829.7103830406</v>
      </c>
      <c r="R31" s="43">
        <f t="shared" si="17"/>
        <v>1516204.2980759633</v>
      </c>
      <c r="S31" s="43">
        <f t="shared" si="17"/>
        <v>1583599.5791254395</v>
      </c>
      <c r="T31" s="43">
        <f t="shared" si="17"/>
        <v>1653990.5804175651</v>
      </c>
      <c r="U31" s="43">
        <f t="shared" si="17"/>
        <v>1719323.2083440591</v>
      </c>
      <c r="V31" s="43">
        <f t="shared" si="17"/>
        <v>1787236.4750736495</v>
      </c>
    </row>
    <row r="32" spans="1:22" ht="17" customHeight="1" x14ac:dyDescent="0.2">
      <c r="A32" s="26" t="s">
        <v>127</v>
      </c>
      <c r="B32" s="55" t="s">
        <v>124</v>
      </c>
      <c r="C32" s="30"/>
      <c r="D32" s="30"/>
      <c r="E32" s="30"/>
      <c r="F32" s="30"/>
      <c r="G32" s="30"/>
      <c r="H32" s="31">
        <f>H31/H17</f>
        <v>0.58342921883099541</v>
      </c>
      <c r="I32" s="31">
        <f t="shared" ref="I32:L32" si="18">I31/I17</f>
        <v>0.55512986973404288</v>
      </c>
      <c r="J32" s="31">
        <f t="shared" si="18"/>
        <v>0.54958384105785263</v>
      </c>
      <c r="K32" s="31">
        <f t="shared" si="18"/>
        <v>0.55805833990314224</v>
      </c>
      <c r="L32" s="31">
        <f t="shared" si="18"/>
        <v>0.54066148200740494</v>
      </c>
      <c r="M32" s="32">
        <f>AVERAGE(H32:L32)</f>
        <v>0.55737255030668764</v>
      </c>
      <c r="N32" s="32">
        <f>M32</f>
        <v>0.55737255030668764</v>
      </c>
      <c r="O32" s="32">
        <f>N32-(N32*1%)</f>
        <v>0.55179882480362075</v>
      </c>
      <c r="P32" s="32">
        <f t="shared" ref="P32:V32" si="19">O32-(O32*1%)</f>
        <v>0.54628083655558457</v>
      </c>
      <c r="Q32" s="32">
        <f t="shared" si="19"/>
        <v>0.54081802819002878</v>
      </c>
      <c r="R32" s="32">
        <f t="shared" si="19"/>
        <v>0.53540984790812851</v>
      </c>
      <c r="S32" s="32">
        <f t="shared" si="19"/>
        <v>0.53005574942904721</v>
      </c>
      <c r="T32" s="32">
        <f t="shared" si="19"/>
        <v>0.52475519193475673</v>
      </c>
      <c r="U32" s="32">
        <f t="shared" si="19"/>
        <v>0.51950764001540917</v>
      </c>
      <c r="V32" s="32">
        <f t="shared" si="19"/>
        <v>0.51431256361525512</v>
      </c>
    </row>
    <row r="33" spans="1:23" ht="17" customHeight="1" x14ac:dyDescent="0.2">
      <c r="A33" s="48" t="s">
        <v>176</v>
      </c>
      <c r="B33" s="54"/>
      <c r="C33" s="45"/>
      <c r="D33" s="45"/>
      <c r="E33" s="45"/>
      <c r="F33" s="45"/>
      <c r="G33" s="45"/>
      <c r="H33" s="73">
        <f>SUM(H25+H27+H29)</f>
        <v>202937</v>
      </c>
      <c r="I33" s="73">
        <f t="shared" ref="I33:V33" si="20">SUM(I25+I27+I29)</f>
        <v>292612</v>
      </c>
      <c r="J33" s="73">
        <f t="shared" si="20"/>
        <v>426536</v>
      </c>
      <c r="K33" s="73">
        <f t="shared" si="20"/>
        <v>465235</v>
      </c>
      <c r="L33" s="73">
        <f t="shared" si="20"/>
        <v>506851</v>
      </c>
      <c r="M33" s="74">
        <f>SUM(M25+M27+M29)</f>
        <v>492783.80247519276</v>
      </c>
      <c r="N33" s="74">
        <f t="shared" si="20"/>
        <v>517005.41514665715</v>
      </c>
      <c r="O33" s="74">
        <f t="shared" si="20"/>
        <v>523805.2804316206</v>
      </c>
      <c r="P33" s="74">
        <f t="shared" si="20"/>
        <v>536156.26272504451</v>
      </c>
      <c r="Q33" s="74">
        <f t="shared" si="20"/>
        <v>546247.42160146625</v>
      </c>
      <c r="R33" s="74">
        <f t="shared" si="20"/>
        <v>556555.47339326085</v>
      </c>
      <c r="S33" s="74">
        <f t="shared" si="20"/>
        <v>587166.02442989009</v>
      </c>
      <c r="T33" s="74">
        <f t="shared" si="20"/>
        <v>619460.15577353397</v>
      </c>
      <c r="U33" s="74">
        <f t="shared" si="20"/>
        <v>650433.16356221074</v>
      </c>
      <c r="V33" s="74">
        <f t="shared" si="20"/>
        <v>682954.82174032123</v>
      </c>
    </row>
    <row r="34" spans="1:23" ht="8" customHeight="1" x14ac:dyDescent="0.2">
      <c r="A34" s="20"/>
      <c r="B34" s="53"/>
      <c r="C34" s="21"/>
      <c r="D34" s="21"/>
      <c r="E34" s="21"/>
      <c r="F34" s="21"/>
      <c r="G34" s="21"/>
      <c r="H34" s="21"/>
      <c r="I34" s="21"/>
      <c r="J34" s="21"/>
      <c r="K34" s="21"/>
      <c r="L34" s="21"/>
      <c r="M34" s="21"/>
      <c r="N34" s="21"/>
      <c r="O34" s="21"/>
      <c r="P34" s="21"/>
      <c r="Q34" s="21"/>
      <c r="R34" s="21"/>
      <c r="S34" s="21"/>
      <c r="T34" s="21"/>
      <c r="U34" s="21"/>
      <c r="V34" s="21"/>
      <c r="W34" s="322"/>
    </row>
    <row r="35" spans="1:23" ht="17" customHeight="1" x14ac:dyDescent="0.2">
      <c r="A35" s="68" t="s">
        <v>128</v>
      </c>
      <c r="B35" s="53"/>
      <c r="C35" s="21"/>
      <c r="D35" s="21"/>
      <c r="E35" s="21"/>
      <c r="F35" s="21"/>
      <c r="G35" s="21"/>
      <c r="I35" s="21"/>
      <c r="J35" s="21"/>
      <c r="K35" s="21"/>
      <c r="L35" s="21"/>
      <c r="M35" s="21"/>
      <c r="N35" s="21"/>
      <c r="O35" s="21"/>
      <c r="P35" s="21"/>
      <c r="Q35" s="21"/>
      <c r="R35" s="21"/>
      <c r="S35" s="21"/>
      <c r="T35" s="21"/>
      <c r="U35" s="21"/>
      <c r="V35" s="21"/>
      <c r="W35" s="322"/>
    </row>
    <row r="36" spans="1:23" ht="17" customHeight="1" x14ac:dyDescent="0.2">
      <c r="A36" s="26" t="s">
        <v>62</v>
      </c>
      <c r="B36" s="55" t="s">
        <v>118</v>
      </c>
      <c r="C36" s="27"/>
      <c r="D36" s="27"/>
      <c r="E36" s="27"/>
      <c r="F36" s="27"/>
      <c r="G36" s="27"/>
      <c r="H36" s="39">
        <f>'Income Statement-Historic'!C21</f>
        <v>48549</v>
      </c>
      <c r="I36" s="39">
        <f>'Income Statement-Historic'!D21</f>
        <v>52312</v>
      </c>
      <c r="J36" s="39">
        <f>'Income Statement-Historic'!E21</f>
        <v>41183</v>
      </c>
      <c r="K36" s="39">
        <f>'Income Statement-Historic'!F21</f>
        <v>45210</v>
      </c>
      <c r="L36" s="39">
        <f>'Income Statement-Historic'!G21</f>
        <v>52180</v>
      </c>
      <c r="M36" s="43">
        <f>M17*M37</f>
        <v>68008.076607814466</v>
      </c>
      <c r="N36" s="43">
        <f t="shared" ref="N36:V36" si="21">N17*N37</f>
        <v>72768.641970361496</v>
      </c>
      <c r="O36" s="43">
        <f t="shared" si="21"/>
        <v>77498.603698434992</v>
      </c>
      <c r="P36" s="43">
        <f t="shared" si="21"/>
        <v>82536.012938833272</v>
      </c>
      <c r="Q36" s="43">
        <f t="shared" si="21"/>
        <v>87488.17371516327</v>
      </c>
      <c r="R36" s="43">
        <f t="shared" si="21"/>
        <v>92737.464138073075</v>
      </c>
      <c r="S36" s="43">
        <f t="shared" si="21"/>
        <v>97838.024665667093</v>
      </c>
      <c r="T36" s="43">
        <f t="shared" si="21"/>
        <v>103219.11602227877</v>
      </c>
      <c r="U36" s="43">
        <f t="shared" si="21"/>
        <v>108380.07182339272</v>
      </c>
      <c r="V36" s="43">
        <f t="shared" si="21"/>
        <v>113799.07541456235</v>
      </c>
    </row>
    <row r="37" spans="1:23" ht="17" customHeight="1" x14ac:dyDescent="0.2">
      <c r="A37" s="26" t="s">
        <v>129</v>
      </c>
      <c r="B37" s="55" t="s">
        <v>124</v>
      </c>
      <c r="C37" s="30"/>
      <c r="D37" s="30"/>
      <c r="E37" s="30"/>
      <c r="F37" s="30"/>
      <c r="G37" s="30"/>
      <c r="H37" s="31">
        <f>H36/H17</f>
        <v>4.7663600948775545E-2</v>
      </c>
      <c r="I37" s="31">
        <f t="shared" ref="I37:L37" si="22">I36/I17</f>
        <v>3.9860041816774258E-2</v>
      </c>
      <c r="J37" s="31">
        <f t="shared" si="22"/>
        <v>2.4732915382716686E-2</v>
      </c>
      <c r="K37" s="31">
        <f t="shared" si="22"/>
        <v>2.459801746834658E-2</v>
      </c>
      <c r="L37" s="31">
        <f t="shared" si="22"/>
        <v>2.6885072241394768E-2</v>
      </c>
      <c r="M37" s="32">
        <f>AVERAGE(H37:L37)</f>
        <v>3.2747929571601567E-2</v>
      </c>
      <c r="N37" s="32">
        <f>M37</f>
        <v>3.2747929571601567E-2</v>
      </c>
      <c r="O37" s="32">
        <f t="shared" ref="O37:V37" si="23">N37</f>
        <v>3.2747929571601567E-2</v>
      </c>
      <c r="P37" s="32">
        <f t="shared" si="23"/>
        <v>3.2747929571601567E-2</v>
      </c>
      <c r="Q37" s="32">
        <f t="shared" si="23"/>
        <v>3.2747929571601567E-2</v>
      </c>
      <c r="R37" s="32">
        <f t="shared" si="23"/>
        <v>3.2747929571601567E-2</v>
      </c>
      <c r="S37" s="32">
        <f t="shared" si="23"/>
        <v>3.2747929571601567E-2</v>
      </c>
      <c r="T37" s="32">
        <f t="shared" si="23"/>
        <v>3.2747929571601567E-2</v>
      </c>
      <c r="U37" s="32">
        <f t="shared" si="23"/>
        <v>3.2747929571601567E-2</v>
      </c>
      <c r="V37" s="32">
        <f t="shared" si="23"/>
        <v>3.2747929571601567E-2</v>
      </c>
    </row>
    <row r="38" spans="1:23" ht="17" customHeight="1" x14ac:dyDescent="0.2">
      <c r="A38" s="26" t="s">
        <v>64</v>
      </c>
      <c r="B38" s="55" t="s">
        <v>118</v>
      </c>
      <c r="C38" s="27"/>
      <c r="D38" s="27"/>
      <c r="E38" s="27"/>
      <c r="F38" s="27"/>
      <c r="G38" s="27"/>
      <c r="H38" s="50" t="str">
        <f>'Income Statement-Historic'!C22</f>
        <v>—</v>
      </c>
      <c r="I38" s="50" t="str">
        <f>'Income Statement-Historic'!D22</f>
        <v>—</v>
      </c>
      <c r="J38" s="50">
        <f>'Income Statement-Historic'!E22</f>
        <v>18368</v>
      </c>
      <c r="K38" s="50">
        <f>'Income Statement-Historic'!F22</f>
        <v>19525</v>
      </c>
      <c r="L38" s="50">
        <f>'Income Statement-Historic'!G22</f>
        <v>19666</v>
      </c>
      <c r="M38" s="43">
        <f>M17*M39</f>
        <v>22004.162827796914</v>
      </c>
      <c r="N38" s="43">
        <f t="shared" ref="N38:V38" si="24">N17*N39</f>
        <v>23544.454225742698</v>
      </c>
      <c r="O38" s="43">
        <f t="shared" si="24"/>
        <v>25074.843750415974</v>
      </c>
      <c r="P38" s="43">
        <f t="shared" si="24"/>
        <v>26704.708594193013</v>
      </c>
      <c r="Q38" s="43">
        <f t="shared" si="24"/>
        <v>28306.991109844599</v>
      </c>
      <c r="R38" s="43">
        <f t="shared" si="24"/>
        <v>30005.410576435279</v>
      </c>
      <c r="S38" s="43">
        <f t="shared" si="24"/>
        <v>31655.708158139212</v>
      </c>
      <c r="T38" s="43">
        <f t="shared" si="24"/>
        <v>33396.77210683687</v>
      </c>
      <c r="U38" s="43">
        <f t="shared" si="24"/>
        <v>35066.610712178714</v>
      </c>
      <c r="V38" s="43">
        <f t="shared" si="24"/>
        <v>36819.941247787654</v>
      </c>
    </row>
    <row r="39" spans="1:23" ht="17" customHeight="1" x14ac:dyDescent="0.2">
      <c r="A39" s="26" t="s">
        <v>130</v>
      </c>
      <c r="B39" s="55" t="s">
        <v>124</v>
      </c>
      <c r="C39" s="30"/>
      <c r="D39" s="30"/>
      <c r="E39" s="30"/>
      <c r="F39" s="30"/>
      <c r="G39" s="30"/>
      <c r="H39" s="31"/>
      <c r="I39" s="31"/>
      <c r="J39" s="31">
        <f t="shared" ref="J39:L39" si="25">J38/J17</f>
        <v>1.1031109675102352E-2</v>
      </c>
      <c r="K39" s="31">
        <f t="shared" si="25"/>
        <v>1.0623231388397854E-2</v>
      </c>
      <c r="L39" s="31">
        <f t="shared" si="25"/>
        <v>1.0132652945559017E-2</v>
      </c>
      <c r="M39" s="32">
        <f>AVERAGE(J39:L39)</f>
        <v>1.0595664669686408E-2</v>
      </c>
      <c r="N39" s="32">
        <f>M39</f>
        <v>1.0595664669686408E-2</v>
      </c>
      <c r="O39" s="32">
        <f t="shared" ref="O39:V39" si="26">N39</f>
        <v>1.0595664669686408E-2</v>
      </c>
      <c r="P39" s="32">
        <f t="shared" si="26"/>
        <v>1.0595664669686408E-2</v>
      </c>
      <c r="Q39" s="32">
        <f t="shared" si="26"/>
        <v>1.0595664669686408E-2</v>
      </c>
      <c r="R39" s="32">
        <f t="shared" si="26"/>
        <v>1.0595664669686408E-2</v>
      </c>
      <c r="S39" s="32">
        <f t="shared" si="26"/>
        <v>1.0595664669686408E-2</v>
      </c>
      <c r="T39" s="32">
        <f t="shared" si="26"/>
        <v>1.0595664669686408E-2</v>
      </c>
      <c r="U39" s="32">
        <f t="shared" si="26"/>
        <v>1.0595664669686408E-2</v>
      </c>
      <c r="V39" s="32">
        <f t="shared" si="26"/>
        <v>1.0595664669686408E-2</v>
      </c>
    </row>
    <row r="40" spans="1:23" ht="8" customHeight="1" x14ac:dyDescent="0.2">
      <c r="A40" s="20"/>
      <c r="B40" s="53"/>
      <c r="C40" s="21"/>
      <c r="D40" s="21"/>
      <c r="E40" s="21"/>
      <c r="F40" s="21"/>
      <c r="G40" s="21"/>
      <c r="H40" s="21"/>
      <c r="I40" s="21"/>
      <c r="J40" s="21"/>
      <c r="K40" s="21"/>
      <c r="L40" s="21"/>
      <c r="M40" s="21"/>
      <c r="N40" s="21"/>
      <c r="O40" s="21"/>
      <c r="P40" s="21"/>
      <c r="Q40" s="21"/>
      <c r="R40" s="21"/>
      <c r="S40" s="21"/>
      <c r="T40" s="21"/>
      <c r="U40" s="21"/>
      <c r="V40" s="21"/>
    </row>
    <row r="41" spans="1:23" ht="17" customHeight="1" x14ac:dyDescent="0.2">
      <c r="A41" s="68" t="s">
        <v>131</v>
      </c>
      <c r="B41" s="53"/>
      <c r="C41" s="21"/>
      <c r="D41" s="21"/>
      <c r="E41" s="21"/>
      <c r="F41" s="21"/>
      <c r="G41" s="21"/>
      <c r="H41" s="21"/>
      <c r="I41" s="21"/>
      <c r="J41" s="21"/>
      <c r="K41" s="21"/>
      <c r="L41" s="21"/>
      <c r="M41" s="21"/>
      <c r="N41" s="21"/>
      <c r="O41" s="21"/>
      <c r="P41" s="21"/>
      <c r="Q41" s="21"/>
      <c r="R41" s="21"/>
      <c r="S41" s="21"/>
      <c r="T41" s="21"/>
      <c r="U41" s="21"/>
      <c r="V41" s="21"/>
    </row>
    <row r="42" spans="1:23" ht="17" customHeight="1" x14ac:dyDescent="0.2">
      <c r="A42" s="26" t="s">
        <v>69</v>
      </c>
      <c r="B42" s="55" t="s">
        <v>118</v>
      </c>
      <c r="C42" s="27"/>
      <c r="D42" s="27"/>
      <c r="E42" s="27"/>
      <c r="F42" s="27"/>
      <c r="G42" s="27"/>
      <c r="H42" s="41">
        <f>'Income Statement-Historic'!C25</f>
        <v>134717</v>
      </c>
      <c r="I42" s="41">
        <f>'Income Statement-Historic'!D25</f>
        <v>169258</v>
      </c>
      <c r="J42" s="41">
        <f>'Income Statement-Historic'!E25</f>
        <v>202282</v>
      </c>
      <c r="K42" s="41">
        <f>'Income Statement-Historic'!F25</f>
        <v>212679</v>
      </c>
      <c r="L42" s="41">
        <f>'Income Statement-Historic'!G25</f>
        <v>228731</v>
      </c>
      <c r="M42" s="43">
        <f>M17*M43</f>
        <v>255966.52275715757</v>
      </c>
      <c r="N42" s="43">
        <f t="shared" ref="N42:V42" si="27">N17*N43</f>
        <v>273884.17935015861</v>
      </c>
      <c r="O42" s="43">
        <f t="shared" si="27"/>
        <v>288769.78449783975</v>
      </c>
      <c r="P42" s="43">
        <f t="shared" si="27"/>
        <v>304464.42228529736</v>
      </c>
      <c r="Q42" s="43">
        <f t="shared" si="27"/>
        <v>319504.96474619111</v>
      </c>
      <c r="R42" s="43">
        <f t="shared" si="27"/>
        <v>335288.51000465296</v>
      </c>
      <c r="S42" s="43">
        <f t="shared" si="27"/>
        <v>343117.49671326159</v>
      </c>
      <c r="T42" s="43">
        <f t="shared" si="27"/>
        <v>351129.29026151617</v>
      </c>
      <c r="U42" s="43">
        <f t="shared" si="27"/>
        <v>357625.18213135423</v>
      </c>
      <c r="V42" s="43">
        <f t="shared" si="27"/>
        <v>364241.24800078425</v>
      </c>
    </row>
    <row r="43" spans="1:23" ht="17" customHeight="1" x14ac:dyDescent="0.2">
      <c r="A43" s="26" t="s">
        <v>132</v>
      </c>
      <c r="B43" s="55" t="s">
        <v>124</v>
      </c>
      <c r="C43" s="30"/>
      <c r="D43" s="30"/>
      <c r="E43" s="30"/>
      <c r="F43" s="30"/>
      <c r="G43" s="30"/>
      <c r="H43" s="31">
        <f>H42/H17</f>
        <v>0.13226013571888598</v>
      </c>
      <c r="I43" s="31">
        <f>I42/I17</f>
        <v>0.12896908850404451</v>
      </c>
      <c r="J43" s="31">
        <f>J42/J17</f>
        <v>0.12148273776671677</v>
      </c>
      <c r="K43" s="31">
        <f>K42/K17</f>
        <v>0.11571514614356297</v>
      </c>
      <c r="L43" s="31">
        <f>L42/L17</f>
        <v>0.11785069871304076</v>
      </c>
      <c r="M43" s="32">
        <f>AVERAGE(H43:L43)</f>
        <v>0.1232555613692502</v>
      </c>
      <c r="N43" s="32">
        <f>M43</f>
        <v>0.1232555613692502</v>
      </c>
      <c r="O43" s="32">
        <f>N43-(N43*1%)</f>
        <v>0.1220230057555577</v>
      </c>
      <c r="P43" s="32">
        <f t="shared" ref="P43:R43" si="28">O43-(O43*1%)</f>
        <v>0.12080277569800213</v>
      </c>
      <c r="Q43" s="32">
        <f t="shared" si="28"/>
        <v>0.11959474794102211</v>
      </c>
      <c r="R43" s="32">
        <f t="shared" si="28"/>
        <v>0.11839880046161189</v>
      </c>
      <c r="S43" s="32">
        <f>R43-(R43*3%)</f>
        <v>0.11484683644776353</v>
      </c>
      <c r="T43" s="32">
        <f t="shared" ref="T43:V43" si="29">S43-(S43*3%)</f>
        <v>0.11140143135433062</v>
      </c>
      <c r="U43" s="32">
        <f t="shared" si="29"/>
        <v>0.10805938841370069</v>
      </c>
      <c r="V43" s="32">
        <f t="shared" si="29"/>
        <v>0.10481760676128966</v>
      </c>
    </row>
    <row r="44" spans="1:23" ht="17" customHeight="1" x14ac:dyDescent="0.2">
      <c r="A44" s="68" t="s">
        <v>158</v>
      </c>
      <c r="B44" s="54"/>
      <c r="C44" s="45"/>
      <c r="D44" s="45"/>
      <c r="E44" s="45"/>
      <c r="F44" s="45"/>
      <c r="G44" s="45"/>
      <c r="H44" s="46"/>
      <c r="I44" s="46"/>
      <c r="J44" s="46"/>
      <c r="K44" s="46"/>
      <c r="L44" s="46"/>
      <c r="M44" s="47"/>
      <c r="N44" s="47"/>
      <c r="O44" s="47"/>
      <c r="P44" s="47"/>
      <c r="Q44" s="47"/>
      <c r="R44" s="47"/>
      <c r="S44" s="47"/>
      <c r="T44" s="47"/>
      <c r="U44" s="47"/>
      <c r="V44" s="47"/>
    </row>
    <row r="45" spans="1:23" ht="17" customHeight="1" x14ac:dyDescent="0.2">
      <c r="A45" s="26" t="s">
        <v>158</v>
      </c>
      <c r="B45" s="55" t="s">
        <v>118</v>
      </c>
      <c r="C45" s="27"/>
      <c r="D45" s="27"/>
      <c r="E45" s="27"/>
      <c r="F45" s="27"/>
      <c r="G45" s="27"/>
      <c r="H45" s="41">
        <f>'Income Statement-Historic'!C23</f>
        <v>2267</v>
      </c>
      <c r="I45" s="41">
        <f>'Income Statement-Historic'!D23</f>
        <v>1478</v>
      </c>
      <c r="J45" s="41">
        <f>'Income Statement-Historic'!E23</f>
        <v>464</v>
      </c>
      <c r="K45" s="41">
        <f>'Income Statement-Historic'!F23</f>
        <v>689</v>
      </c>
      <c r="L45" s="41">
        <f>'Income Statement-Historic'!G23</f>
        <v>1286</v>
      </c>
      <c r="M45" s="43">
        <f>M46*M17</f>
        <v>1938.8087880708692</v>
      </c>
      <c r="N45" s="43">
        <f t="shared" ref="N45:V45" si="30">N46*N17</f>
        <v>2074.5254032358303</v>
      </c>
      <c r="O45" s="43">
        <f t="shared" si="30"/>
        <v>2209.3695544461593</v>
      </c>
      <c r="P45" s="43">
        <f t="shared" si="30"/>
        <v>2352.9785754851596</v>
      </c>
      <c r="Q45" s="43">
        <f t="shared" si="30"/>
        <v>2494.1572900142696</v>
      </c>
      <c r="R45" s="43">
        <f t="shared" si="30"/>
        <v>2643.8067274151263</v>
      </c>
      <c r="S45" s="43">
        <f t="shared" si="30"/>
        <v>2789.2160974229578</v>
      </c>
      <c r="T45" s="43">
        <f t="shared" si="30"/>
        <v>2942.6229827812203</v>
      </c>
      <c r="U45" s="43">
        <f t="shared" si="30"/>
        <v>3089.7541319202815</v>
      </c>
      <c r="V45" s="43">
        <f t="shared" si="30"/>
        <v>3244.2418385162955</v>
      </c>
    </row>
    <row r="46" spans="1:23" ht="16" customHeight="1" x14ac:dyDescent="0.2">
      <c r="A46" s="26" t="s">
        <v>159</v>
      </c>
      <c r="B46" s="55" t="s">
        <v>124</v>
      </c>
      <c r="C46" s="30"/>
      <c r="D46" s="30"/>
      <c r="E46" s="30"/>
      <c r="F46" s="30"/>
      <c r="G46" s="30"/>
      <c r="H46" s="31">
        <f>H45/H17</f>
        <v>2.2256562102386077E-3</v>
      </c>
      <c r="I46" s="31">
        <f t="shared" ref="I46:L46" si="31">I45/I17</f>
        <v>1.1261879072716079E-3</v>
      </c>
      <c r="J46" s="31">
        <f t="shared" si="31"/>
        <v>2.7866043604352628E-4</v>
      </c>
      <c r="K46" s="31">
        <f t="shared" si="31"/>
        <v>3.7487356858418035E-4</v>
      </c>
      <c r="L46" s="31">
        <f t="shared" si="31"/>
        <v>6.6259491955603046E-4</v>
      </c>
      <c r="M46" s="32">
        <f>AVERAGE(H46:L46)</f>
        <v>9.3359460833879052E-4</v>
      </c>
      <c r="N46" s="32">
        <f>M46</f>
        <v>9.3359460833879052E-4</v>
      </c>
      <c r="O46" s="32">
        <f t="shared" ref="O46:V46" si="32">N46</f>
        <v>9.3359460833879052E-4</v>
      </c>
      <c r="P46" s="32">
        <f t="shared" si="32"/>
        <v>9.3359460833879052E-4</v>
      </c>
      <c r="Q46" s="32">
        <f t="shared" si="32"/>
        <v>9.3359460833879052E-4</v>
      </c>
      <c r="R46" s="32">
        <f t="shared" si="32"/>
        <v>9.3359460833879052E-4</v>
      </c>
      <c r="S46" s="32">
        <f t="shared" si="32"/>
        <v>9.3359460833879052E-4</v>
      </c>
      <c r="T46" s="32">
        <f t="shared" si="32"/>
        <v>9.3359460833879052E-4</v>
      </c>
      <c r="U46" s="32">
        <f t="shared" si="32"/>
        <v>9.3359460833879052E-4</v>
      </c>
      <c r="V46" s="32">
        <f t="shared" si="32"/>
        <v>9.3359460833879052E-4</v>
      </c>
    </row>
    <row r="47" spans="1:23" ht="17" customHeight="1" x14ac:dyDescent="0.2">
      <c r="A47" s="68" t="s">
        <v>133</v>
      </c>
      <c r="B47" s="53"/>
      <c r="C47" s="21"/>
      <c r="D47" s="21"/>
      <c r="E47" s="21"/>
      <c r="F47" s="21"/>
      <c r="G47" s="21"/>
      <c r="H47" s="21"/>
      <c r="I47" s="21"/>
      <c r="J47" s="21"/>
      <c r="K47" s="21"/>
      <c r="L47" s="21"/>
      <c r="M47" s="21"/>
      <c r="N47" s="21"/>
      <c r="O47" s="21"/>
      <c r="P47" s="21"/>
      <c r="Q47" s="21"/>
      <c r="R47" s="21"/>
      <c r="S47" s="21"/>
      <c r="T47" s="21"/>
      <c r="U47" s="21"/>
      <c r="V47" s="21"/>
    </row>
    <row r="48" spans="1:23" ht="17" customHeight="1" x14ac:dyDescent="0.2">
      <c r="A48" s="26" t="s">
        <v>67</v>
      </c>
      <c r="B48" s="55" t="s">
        <v>118</v>
      </c>
      <c r="C48" s="27"/>
      <c r="D48" s="27"/>
      <c r="E48" s="27"/>
      <c r="F48" s="27"/>
      <c r="G48" s="27"/>
      <c r="H48" s="41">
        <f>'Income Statement-Historic'!C24</f>
        <v>23201</v>
      </c>
      <c r="I48" s="41">
        <f>'Income Statement-Historic'!D24</f>
        <v>21719</v>
      </c>
      <c r="J48" s="41">
        <f>'Income Statement-Historic'!E24</f>
        <v>21059</v>
      </c>
      <c r="K48" s="41">
        <f>'Income Statement-Historic'!F24</f>
        <v>21190</v>
      </c>
      <c r="L48" s="41">
        <f>'Income Statement-Historic'!G24</f>
        <v>23298</v>
      </c>
      <c r="M48" s="43">
        <f>M49*M17</f>
        <v>31361.449178577066</v>
      </c>
      <c r="N48" s="43">
        <f t="shared" ref="N48:V48" si="33">N49*N17</f>
        <v>33556.750621077466</v>
      </c>
      <c r="O48" s="43">
        <f t="shared" si="33"/>
        <v>35737.9394114475</v>
      </c>
      <c r="P48" s="43">
        <f t="shared" si="33"/>
        <v>38060.905473191589</v>
      </c>
      <c r="Q48" s="43">
        <f t="shared" si="33"/>
        <v>40344.559801583091</v>
      </c>
      <c r="R48" s="43">
        <f t="shared" si="33"/>
        <v>42765.233389678084</v>
      </c>
      <c r="S48" s="43">
        <f t="shared" si="33"/>
        <v>45117.321226110369</v>
      </c>
      <c r="T48" s="43">
        <f t="shared" si="33"/>
        <v>47598.773893546437</v>
      </c>
      <c r="U48" s="43">
        <f t="shared" si="33"/>
        <v>49978.71258822376</v>
      </c>
      <c r="V48" s="43">
        <f t="shared" si="33"/>
        <v>52477.648217634953</v>
      </c>
    </row>
    <row r="49" spans="1:22" ht="17" customHeight="1" x14ac:dyDescent="0.2">
      <c r="A49" s="26" t="s">
        <v>134</v>
      </c>
      <c r="B49" s="55" t="s">
        <v>124</v>
      </c>
      <c r="C49" s="30"/>
      <c r="D49" s="30"/>
      <c r="E49" s="30"/>
      <c r="F49" s="30"/>
      <c r="G49" s="30"/>
      <c r="H49" s="31">
        <f>H48/H17</f>
        <v>2.2777878135750301E-2</v>
      </c>
      <c r="I49" s="31">
        <f>I48/I17</f>
        <v>1.6549171284189479E-2</v>
      </c>
      <c r="J49" s="31">
        <f>J48/J17</f>
        <v>1.2647220091897888E-2</v>
      </c>
      <c r="K49" s="31">
        <f>K48/K17</f>
        <v>1.152913050551347E-2</v>
      </c>
      <c r="L49" s="31">
        <f>L48/L17</f>
        <v>1.2003994118053187E-2</v>
      </c>
      <c r="M49" s="32">
        <f>AVERAGE(H49:L49)</f>
        <v>1.5101478827080864E-2</v>
      </c>
      <c r="N49" s="32">
        <f>M49</f>
        <v>1.5101478827080864E-2</v>
      </c>
      <c r="O49" s="32">
        <f t="shared" ref="O49:V49" si="34">N49</f>
        <v>1.5101478827080864E-2</v>
      </c>
      <c r="P49" s="32">
        <f t="shared" si="34"/>
        <v>1.5101478827080864E-2</v>
      </c>
      <c r="Q49" s="32">
        <f t="shared" si="34"/>
        <v>1.5101478827080864E-2</v>
      </c>
      <c r="R49" s="32">
        <f t="shared" si="34"/>
        <v>1.5101478827080864E-2</v>
      </c>
      <c r="S49" s="32">
        <f t="shared" si="34"/>
        <v>1.5101478827080864E-2</v>
      </c>
      <c r="T49" s="32">
        <f t="shared" si="34"/>
        <v>1.5101478827080864E-2</v>
      </c>
      <c r="U49" s="32">
        <f t="shared" si="34"/>
        <v>1.5101478827080864E-2</v>
      </c>
      <c r="V49" s="32">
        <f t="shared" si="34"/>
        <v>1.5101478827080864E-2</v>
      </c>
    </row>
    <row r="50" spans="1:22" ht="17" customHeight="1" x14ac:dyDescent="0.2">
      <c r="A50" s="48" t="s">
        <v>71</v>
      </c>
      <c r="B50" s="54"/>
      <c r="C50" s="45"/>
      <c r="D50" s="45"/>
      <c r="E50" s="45"/>
      <c r="F50" s="45"/>
      <c r="G50" s="45"/>
      <c r="H50" s="61">
        <f>-SUM(H48,H45,H42,H36,H38,H31,H29,H27,H25)</f>
        <v>-1005938</v>
      </c>
      <c r="I50" s="61">
        <f t="shared" ref="I50:V50" si="35">-SUM(I48,I45,I42,I36,I38,I31,I29,I27,I25)</f>
        <v>-1265927</v>
      </c>
      <c r="J50" s="61">
        <f t="shared" si="35"/>
        <v>-1625009</v>
      </c>
      <c r="K50" s="61">
        <f t="shared" si="35"/>
        <v>-1790213</v>
      </c>
      <c r="L50" s="61">
        <f t="shared" si="35"/>
        <v>-1881357</v>
      </c>
      <c r="M50" s="63">
        <f t="shared" si="35"/>
        <v>-2029566.0784502511</v>
      </c>
      <c r="N50" s="63">
        <f t="shared" si="35"/>
        <v>-2161362.45043997</v>
      </c>
      <c r="O50" s="63">
        <f t="shared" si="35"/>
        <v>-2258938.3281572722</v>
      </c>
      <c r="P50" s="63">
        <f t="shared" si="35"/>
        <v>-2367090.3376504024</v>
      </c>
      <c r="Q50" s="63">
        <f t="shared" si="35"/>
        <v>-2469215.9786473033</v>
      </c>
      <c r="R50" s="63">
        <f t="shared" si="35"/>
        <v>-2576200.1963054785</v>
      </c>
      <c r="S50" s="63">
        <f t="shared" si="35"/>
        <v>-2691283.3704159311</v>
      </c>
      <c r="T50" s="63">
        <f t="shared" si="35"/>
        <v>-2811737.3114580587</v>
      </c>
      <c r="U50" s="63">
        <f t="shared" si="35"/>
        <v>-2923896.7032933393</v>
      </c>
      <c r="V50" s="63">
        <f t="shared" si="35"/>
        <v>-3040773.4515332561</v>
      </c>
    </row>
    <row r="51" spans="1:22" ht="17" customHeight="1" x14ac:dyDescent="0.2">
      <c r="A51" s="20"/>
      <c r="B51" s="54"/>
      <c r="C51" s="45"/>
      <c r="D51" s="45"/>
      <c r="E51" s="45"/>
      <c r="F51" s="45"/>
      <c r="G51" s="45"/>
      <c r="H51" s="61"/>
      <c r="I51" s="61"/>
      <c r="J51" s="61"/>
      <c r="K51" s="61"/>
      <c r="L51" s="61"/>
      <c r="M51" s="220"/>
      <c r="N51" s="220"/>
      <c r="O51" s="220"/>
      <c r="P51" s="220"/>
      <c r="Q51" s="220"/>
      <c r="R51" s="220"/>
      <c r="S51" s="220"/>
      <c r="T51" s="220"/>
      <c r="U51" s="220"/>
      <c r="V51" s="220"/>
    </row>
    <row r="52" spans="1:22" ht="17" customHeight="1" x14ac:dyDescent="0.2">
      <c r="A52" s="340" t="s">
        <v>426</v>
      </c>
      <c r="B52" s="54"/>
      <c r="C52" s="45"/>
      <c r="D52" s="45"/>
      <c r="E52" s="45"/>
      <c r="F52" s="45"/>
      <c r="G52" s="45"/>
      <c r="H52" s="49">
        <f>FS!D25</f>
        <v>11383</v>
      </c>
      <c r="I52" s="49">
        <f>FS!E25</f>
        <v>36608</v>
      </c>
      <c r="J52" s="49">
        <f>FS!F25</f>
        <v>30468</v>
      </c>
      <c r="K52" s="49">
        <f>FS!G25</f>
        <v>41086</v>
      </c>
      <c r="L52" s="49">
        <f>FS!H25</f>
        <v>44241</v>
      </c>
      <c r="M52" s="49">
        <f>FS!I25</f>
        <v>37665.000784441523</v>
      </c>
      <c r="N52" s="49">
        <f>FS!J25</f>
        <v>47492.828290612015</v>
      </c>
      <c r="O52" s="49">
        <f>FS!K25</f>
        <v>80618.739222408825</v>
      </c>
      <c r="P52" s="49">
        <f>FS!L25</f>
        <v>112934.24455783056</v>
      </c>
      <c r="Q52" s="49">
        <f>FS!M25</f>
        <v>147640.14471478635</v>
      </c>
      <c r="R52" s="49">
        <f>FS!N25</f>
        <v>185316.67214013817</v>
      </c>
      <c r="S52" s="49">
        <f>FS!O25</f>
        <v>214134.57478828984</v>
      </c>
      <c r="T52" s="49">
        <f>FS!P25</f>
        <v>245208.62743316911</v>
      </c>
      <c r="U52" s="49">
        <f>FS!Q25</f>
        <v>277368.29042116361</v>
      </c>
      <c r="V52" s="49">
        <f>FS!R25</f>
        <v>311759.36578954675</v>
      </c>
    </row>
    <row r="53" spans="1:22" ht="17" customHeight="1" x14ac:dyDescent="0.2">
      <c r="A53" s="341"/>
      <c r="B53" s="54"/>
      <c r="C53" s="45"/>
      <c r="D53" s="45"/>
      <c r="E53" s="45"/>
      <c r="F53" s="45"/>
      <c r="G53" s="45"/>
      <c r="H53" s="49"/>
      <c r="I53" s="226">
        <f>(I52/H52)-1</f>
        <v>2.2160238952824387</v>
      </c>
      <c r="J53" s="226">
        <f t="shared" ref="J53:V53" si="36">(J52/I52)-1</f>
        <v>-0.16772290209790208</v>
      </c>
      <c r="K53" s="226">
        <f t="shared" si="36"/>
        <v>0.34849678351056856</v>
      </c>
      <c r="L53" s="226">
        <f t="shared" si="36"/>
        <v>7.6790147495497285E-2</v>
      </c>
      <c r="M53" s="226">
        <f t="shared" si="36"/>
        <v>-0.14864038370648214</v>
      </c>
      <c r="N53" s="226">
        <f t="shared" si="36"/>
        <v>0.2609273145224551</v>
      </c>
      <c r="O53" s="226">
        <f t="shared" si="36"/>
        <v>0.69749290838391409</v>
      </c>
      <c r="P53" s="226">
        <f t="shared" si="36"/>
        <v>0.40084359600651398</v>
      </c>
      <c r="Q53" s="226">
        <f t="shared" si="36"/>
        <v>0.30731068590257271</v>
      </c>
      <c r="R53" s="226">
        <f t="shared" si="36"/>
        <v>0.25519161809368285</v>
      </c>
      <c r="S53" s="226">
        <f t="shared" si="36"/>
        <v>0.15550626025897607</v>
      </c>
      <c r="T53" s="226">
        <f t="shared" si="36"/>
        <v>0.14511459756371203</v>
      </c>
      <c r="U53" s="226">
        <f t="shared" si="36"/>
        <v>0.13115224910575196</v>
      </c>
      <c r="V53" s="226">
        <f t="shared" si="36"/>
        <v>0.12399065270281184</v>
      </c>
    </row>
    <row r="54" spans="1:22" ht="17" customHeight="1" x14ac:dyDescent="0.2">
      <c r="A54" s="340" t="s">
        <v>335</v>
      </c>
      <c r="B54" s="54"/>
      <c r="C54" s="45"/>
      <c r="D54" s="45"/>
      <c r="E54" s="45"/>
      <c r="F54" s="45"/>
      <c r="G54" s="45"/>
      <c r="H54" s="49">
        <f>FS!D26</f>
        <v>19208</v>
      </c>
      <c r="I54" s="49">
        <f>FS!E26</f>
        <v>50922</v>
      </c>
      <c r="J54" s="49">
        <f>FS!F26</f>
        <v>42195</v>
      </c>
      <c r="K54" s="49">
        <f>FS!G26</f>
        <v>55803</v>
      </c>
      <c r="L54" s="49">
        <f>FS!H26</f>
        <v>61797</v>
      </c>
      <c r="M54" s="49">
        <f>FS!I26</f>
        <v>55745.952765844479</v>
      </c>
      <c r="N54" s="49">
        <f>FS!J26</f>
        <v>69921.422961253003</v>
      </c>
      <c r="O54" s="49">
        <f>FS!K26</f>
        <v>117378.99701503021</v>
      </c>
      <c r="P54" s="49">
        <f>FS!L26</f>
        <v>163687.61365810022</v>
      </c>
      <c r="Q54" s="49">
        <f>FS!M26</f>
        <v>213408.64973970904</v>
      </c>
      <c r="R54" s="49">
        <f>FS!N26</f>
        <v>267381.90978475538</v>
      </c>
      <c r="S54" s="49">
        <f>FS!O26</f>
        <v>308695.75150926557</v>
      </c>
      <c r="T54" s="49">
        <f>FS!P26</f>
        <v>353240.66217302281</v>
      </c>
      <c r="U54" s="49">
        <f>FS!Q26</f>
        <v>399330.16901929688</v>
      </c>
      <c r="V54" s="49">
        <f>FS!R26</f>
        <v>448614.76439501171</v>
      </c>
    </row>
    <row r="55" spans="1:22" ht="17" customHeight="1" x14ac:dyDescent="0.2">
      <c r="A55" s="341"/>
      <c r="B55" s="54"/>
      <c r="C55" s="45"/>
      <c r="D55" s="45"/>
      <c r="E55" s="45"/>
      <c r="F55" s="45"/>
      <c r="G55" s="45"/>
      <c r="H55" s="49"/>
      <c r="I55" s="226">
        <f>(I54/H54)-1</f>
        <v>1.651082882132445</v>
      </c>
      <c r="J55" s="226">
        <f t="shared" ref="J55:V55" si="37">(J54/I54)-1</f>
        <v>-0.17137975727583366</v>
      </c>
      <c r="K55" s="226">
        <f t="shared" si="37"/>
        <v>0.32250266619267687</v>
      </c>
      <c r="L55" s="226">
        <f t="shared" si="37"/>
        <v>0.1074135799150584</v>
      </c>
      <c r="M55" s="226">
        <f t="shared" si="37"/>
        <v>-9.7918138973664082E-2</v>
      </c>
      <c r="N55" s="226">
        <f t="shared" si="37"/>
        <v>0.25428698393498128</v>
      </c>
      <c r="O55" s="226">
        <f t="shared" si="37"/>
        <v>0.678727234714257</v>
      </c>
      <c r="P55" s="226">
        <f t="shared" si="37"/>
        <v>0.39452217024090142</v>
      </c>
      <c r="Q55" s="226">
        <f t="shared" si="37"/>
        <v>0.3037556414345608</v>
      </c>
      <c r="R55" s="226">
        <f t="shared" si="37"/>
        <v>0.25291036755481389</v>
      </c>
      <c r="S55" s="226">
        <f t="shared" si="37"/>
        <v>0.1545124790146355</v>
      </c>
      <c r="T55" s="226">
        <f t="shared" si="37"/>
        <v>0.14430036839175675</v>
      </c>
      <c r="U55" s="226">
        <f t="shared" si="37"/>
        <v>0.13047622140312587</v>
      </c>
      <c r="V55" s="226">
        <f t="shared" si="37"/>
        <v>0.12341816171002407</v>
      </c>
    </row>
    <row r="56" spans="1:22" ht="17" customHeight="1" x14ac:dyDescent="0.2">
      <c r="A56" s="340" t="s">
        <v>425</v>
      </c>
      <c r="B56" s="54"/>
      <c r="C56" s="45"/>
      <c r="D56" s="45"/>
      <c r="E56" s="45"/>
      <c r="F56" s="45"/>
      <c r="G56" s="45"/>
      <c r="H56" s="49">
        <f>H54+H48</f>
        <v>42409</v>
      </c>
      <c r="I56" s="49">
        <f t="shared" ref="I56:V56" si="38">I54+I48</f>
        <v>72641</v>
      </c>
      <c r="J56" s="49">
        <f t="shared" si="38"/>
        <v>63254</v>
      </c>
      <c r="K56" s="49">
        <f t="shared" si="38"/>
        <v>76993</v>
      </c>
      <c r="L56" s="49">
        <f>L54+L48</f>
        <v>85095</v>
      </c>
      <c r="M56" s="49">
        <f t="shared" si="38"/>
        <v>87107.401944421552</v>
      </c>
      <c r="N56" s="49">
        <f t="shared" si="38"/>
        <v>103478.17358233046</v>
      </c>
      <c r="O56" s="49">
        <f t="shared" si="38"/>
        <v>153116.93642647771</v>
      </c>
      <c r="P56" s="49">
        <f t="shared" si="38"/>
        <v>201748.5191312918</v>
      </c>
      <c r="Q56" s="49">
        <f t="shared" si="38"/>
        <v>253753.20954129213</v>
      </c>
      <c r="R56" s="49">
        <f t="shared" si="38"/>
        <v>310147.14317443344</v>
      </c>
      <c r="S56" s="49">
        <f t="shared" si="38"/>
        <v>353813.07273537596</v>
      </c>
      <c r="T56" s="49">
        <f t="shared" si="38"/>
        <v>400839.43606656924</v>
      </c>
      <c r="U56" s="49">
        <f t="shared" si="38"/>
        <v>449308.88160752063</v>
      </c>
      <c r="V56" s="49">
        <f t="shared" si="38"/>
        <v>501092.41261264664</v>
      </c>
    </row>
    <row r="57" spans="1:22" ht="17" customHeight="1" x14ac:dyDescent="0.2">
      <c r="A57" s="20"/>
      <c r="B57" s="54"/>
      <c r="C57" s="45"/>
      <c r="D57" s="45"/>
      <c r="E57" s="45"/>
      <c r="F57" s="45"/>
      <c r="G57" s="45"/>
      <c r="H57" s="61"/>
      <c r="I57" s="226">
        <f>(I56/H56)-1</f>
        <v>0.71286755169893179</v>
      </c>
      <c r="J57" s="226">
        <f t="shared" ref="J57:V57" si="39">(J56/I56)-1</f>
        <v>-0.12922454261367544</v>
      </c>
      <c r="K57" s="226">
        <f t="shared" si="39"/>
        <v>0.21720365510481554</v>
      </c>
      <c r="L57" s="226">
        <f t="shared" si="39"/>
        <v>0.10523034561583522</v>
      </c>
      <c r="M57" s="226">
        <f t="shared" si="39"/>
        <v>2.3648885885440452E-2</v>
      </c>
      <c r="N57" s="226">
        <f t="shared" si="39"/>
        <v>0.18793777879351969</v>
      </c>
      <c r="O57" s="226">
        <f t="shared" si="39"/>
        <v>0.47970273465112045</v>
      </c>
      <c r="P57" s="226">
        <f t="shared" si="39"/>
        <v>0.31761073490498926</v>
      </c>
      <c r="Q57" s="226">
        <f t="shared" si="39"/>
        <v>0.25776987426687015</v>
      </c>
      <c r="R57" s="226">
        <f t="shared" si="39"/>
        <v>0.22223929200771186</v>
      </c>
      <c r="S57" s="226">
        <f t="shared" si="39"/>
        <v>0.14079101007996009</v>
      </c>
      <c r="T57" s="226">
        <f t="shared" si="39"/>
        <v>0.13291301807371392</v>
      </c>
      <c r="U57" s="226">
        <f t="shared" si="39"/>
        <v>0.12091985263870564</v>
      </c>
      <c r="V57" s="226">
        <f t="shared" si="39"/>
        <v>0.11525151877669737</v>
      </c>
    </row>
    <row r="58" spans="1:22" ht="17" customHeight="1" x14ac:dyDescent="0.2">
      <c r="A58" s="20"/>
      <c r="B58" s="54"/>
      <c r="C58" s="45"/>
      <c r="D58" s="45"/>
      <c r="E58" s="45"/>
      <c r="F58" s="45"/>
      <c r="G58" s="45"/>
      <c r="H58" s="61"/>
      <c r="I58" s="61"/>
      <c r="J58" s="61"/>
      <c r="K58" s="61"/>
      <c r="L58" s="61"/>
      <c r="M58" s="61"/>
      <c r="N58" s="61"/>
      <c r="O58" s="61"/>
      <c r="P58" s="61"/>
      <c r="Q58" s="61"/>
      <c r="R58" s="61"/>
      <c r="S58" s="61"/>
      <c r="T58" s="61"/>
      <c r="U58" s="61"/>
      <c r="V58" s="61"/>
    </row>
    <row r="59" spans="1:22" ht="16" customHeight="1" x14ac:dyDescent="0.2">
      <c r="A59" s="20"/>
      <c r="B59" s="53"/>
      <c r="C59" s="21"/>
      <c r="D59" s="21"/>
      <c r="E59" s="21"/>
      <c r="F59" s="21"/>
      <c r="G59" s="21"/>
      <c r="H59" s="21"/>
      <c r="I59" s="21"/>
      <c r="J59" s="21"/>
      <c r="K59" s="21"/>
      <c r="L59" s="21"/>
      <c r="M59" s="21"/>
      <c r="N59" s="21"/>
      <c r="O59" s="21"/>
      <c r="P59" s="21"/>
      <c r="Q59" s="21"/>
      <c r="R59" s="21"/>
      <c r="S59" s="21"/>
      <c r="T59" s="21"/>
      <c r="U59" s="21"/>
      <c r="V59" s="21"/>
    </row>
    <row r="60" spans="1:22" s="321" customFormat="1" ht="20" customHeight="1" x14ac:dyDescent="0.2">
      <c r="A60" s="69" t="s">
        <v>135</v>
      </c>
      <c r="B60" s="36"/>
      <c r="C60" s="37"/>
      <c r="D60" s="37"/>
      <c r="E60" s="37"/>
      <c r="F60" s="37"/>
      <c r="G60" s="37"/>
      <c r="H60" s="37"/>
      <c r="I60" s="37"/>
      <c r="J60" s="37"/>
      <c r="K60" s="37"/>
      <c r="L60" s="37"/>
      <c r="M60" s="37"/>
      <c r="N60" s="37"/>
      <c r="O60" s="37"/>
      <c r="P60" s="37"/>
      <c r="Q60" s="37"/>
      <c r="R60" s="37"/>
      <c r="S60" s="37"/>
      <c r="T60" s="37"/>
      <c r="U60" s="37"/>
      <c r="V60" s="37"/>
    </row>
    <row r="61" spans="1:22" ht="17" customHeight="1" x14ac:dyDescent="0.2">
      <c r="A61" s="68" t="s">
        <v>136</v>
      </c>
      <c r="B61" s="53"/>
      <c r="C61" s="21"/>
      <c r="D61" s="21"/>
      <c r="E61" s="21"/>
      <c r="F61" s="21"/>
      <c r="G61" s="21"/>
      <c r="H61" s="21"/>
      <c r="I61" s="21"/>
      <c r="J61" s="21"/>
      <c r="K61" s="21"/>
      <c r="L61" s="21"/>
      <c r="M61" s="21"/>
      <c r="N61" s="21"/>
      <c r="O61" s="21"/>
      <c r="P61" s="21"/>
      <c r="Q61" s="21"/>
      <c r="R61" s="21"/>
      <c r="S61" s="21"/>
      <c r="T61" s="21"/>
      <c r="U61" s="21"/>
      <c r="V61" s="21"/>
    </row>
    <row r="62" spans="1:22" ht="17" customHeight="1" x14ac:dyDescent="0.2">
      <c r="A62" s="26" t="s">
        <v>161</v>
      </c>
      <c r="B62" s="55" t="s">
        <v>138</v>
      </c>
      <c r="C62" s="27"/>
      <c r="D62" s="27"/>
      <c r="E62" s="27"/>
      <c r="F62" s="27"/>
      <c r="G62" s="27"/>
      <c r="H62" s="27">
        <f t="shared" ref="H62:V62" si="40">H6</f>
        <v>365</v>
      </c>
      <c r="I62" s="27">
        <f t="shared" si="40"/>
        <v>365</v>
      </c>
      <c r="J62" s="27">
        <f t="shared" si="40"/>
        <v>365</v>
      </c>
      <c r="K62" s="27">
        <f t="shared" si="40"/>
        <v>366</v>
      </c>
      <c r="L62" s="27">
        <f t="shared" si="40"/>
        <v>365</v>
      </c>
      <c r="M62" s="34">
        <f t="shared" si="40"/>
        <v>365</v>
      </c>
      <c r="N62" s="34">
        <f t="shared" si="40"/>
        <v>365</v>
      </c>
      <c r="O62" s="34">
        <f t="shared" si="40"/>
        <v>366</v>
      </c>
      <c r="P62" s="34">
        <f t="shared" si="40"/>
        <v>365</v>
      </c>
      <c r="Q62" s="34">
        <f t="shared" si="40"/>
        <v>365</v>
      </c>
      <c r="R62" s="34">
        <f t="shared" si="40"/>
        <v>365</v>
      </c>
      <c r="S62" s="34">
        <f t="shared" si="40"/>
        <v>366</v>
      </c>
      <c r="T62" s="34">
        <f t="shared" si="40"/>
        <v>365</v>
      </c>
      <c r="U62" s="34">
        <f t="shared" si="40"/>
        <v>365</v>
      </c>
      <c r="V62" s="34">
        <f t="shared" si="40"/>
        <v>365</v>
      </c>
    </row>
    <row r="63" spans="1:22" ht="17" customHeight="1" x14ac:dyDescent="0.2">
      <c r="A63" s="26" t="s">
        <v>137</v>
      </c>
      <c r="B63" s="55" t="s">
        <v>138</v>
      </c>
      <c r="C63" s="27"/>
      <c r="D63" s="27"/>
      <c r="E63" s="27"/>
      <c r="F63" s="27"/>
      <c r="G63" s="27"/>
      <c r="H63" s="72">
        <f>'Balance Sheet- Historic'!C21/'Working '!H17*'Working '!H62</f>
        <v>49.988547737233155</v>
      </c>
      <c r="I63" s="72">
        <f>'Balance Sheet- Historic'!D21/'Working '!I17*'Working '!I62</f>
        <v>34.899930813354544</v>
      </c>
      <c r="J63" s="72">
        <f>'Balance Sheet- Historic'!E21/'Working '!J17*'Working '!J62</f>
        <v>30.849139605875653</v>
      </c>
      <c r="K63" s="72">
        <f>'Balance Sheet- Historic'!F21/'Working '!K17*'Working '!K62</f>
        <v>46.076555820524248</v>
      </c>
      <c r="L63" s="72">
        <f>'Balance Sheet- Historic'!G21/'Working '!L17*'Working '!L62</f>
        <v>53.797449473273112</v>
      </c>
      <c r="M63" s="75">
        <f>AVERAGE(H63:L63)</f>
        <v>43.122324690052139</v>
      </c>
      <c r="N63" s="75">
        <f>M63</f>
        <v>43.122324690052139</v>
      </c>
      <c r="O63" s="75">
        <f t="shared" ref="O63:V63" si="41">N63</f>
        <v>43.122324690052139</v>
      </c>
      <c r="P63" s="75">
        <f t="shared" si="41"/>
        <v>43.122324690052139</v>
      </c>
      <c r="Q63" s="75">
        <f t="shared" si="41"/>
        <v>43.122324690052139</v>
      </c>
      <c r="R63" s="75">
        <f t="shared" si="41"/>
        <v>43.122324690052139</v>
      </c>
      <c r="S63" s="75">
        <f t="shared" si="41"/>
        <v>43.122324690052139</v>
      </c>
      <c r="T63" s="75">
        <f t="shared" si="41"/>
        <v>43.122324690052139</v>
      </c>
      <c r="U63" s="75">
        <f t="shared" si="41"/>
        <v>43.122324690052139</v>
      </c>
      <c r="V63" s="75">
        <f t="shared" si="41"/>
        <v>43.122324690052139</v>
      </c>
    </row>
    <row r="64" spans="1:22" ht="17" customHeight="1" x14ac:dyDescent="0.2">
      <c r="A64" s="26" t="s">
        <v>139</v>
      </c>
      <c r="B64" s="55" t="s">
        <v>138</v>
      </c>
      <c r="C64" s="27"/>
      <c r="D64" s="27"/>
      <c r="E64" s="27"/>
      <c r="F64" s="27"/>
      <c r="G64" s="27"/>
      <c r="H64" s="72">
        <f>'Balance Sheet- Historic'!C20/('Working '!H25+'Working '!H27+'Working '!H29)*'Working '!H62</f>
        <v>204.44187112256512</v>
      </c>
      <c r="I64" s="72">
        <f>'Balance Sheet- Historic'!D20/('Working '!I25+'Working '!I27+'Working '!I29)*'Working '!I62</f>
        <v>116.73159337279401</v>
      </c>
      <c r="J64" s="72">
        <f>'Balance Sheet- Historic'!E20/('Working '!J25+'Working '!J27+'Working '!J29)*'Working '!J62</f>
        <v>122.18210186244538</v>
      </c>
      <c r="K64" s="72">
        <f>'Balance Sheet- Historic'!F20/('Working '!K25+'Working '!K27+'Working '!K29)*'Working '!K62</f>
        <v>107.67866562060033</v>
      </c>
      <c r="L64" s="72">
        <f>'Balance Sheet- Historic'!G20/('Working '!L25+'Working '!L27+'Working '!L29)*'Working '!L62</f>
        <v>116.40441668261482</v>
      </c>
      <c r="M64" s="75">
        <f>AVERAGE(H64:L64)</f>
        <v>133.48772973220395</v>
      </c>
      <c r="N64" s="75">
        <f>M64</f>
        <v>133.48772973220395</v>
      </c>
      <c r="O64" s="75">
        <f t="shared" ref="O64:V64" si="42">N64</f>
        <v>133.48772973220395</v>
      </c>
      <c r="P64" s="75">
        <f t="shared" si="42"/>
        <v>133.48772973220395</v>
      </c>
      <c r="Q64" s="75">
        <f t="shared" si="42"/>
        <v>133.48772973220395</v>
      </c>
      <c r="R64" s="75">
        <f t="shared" si="42"/>
        <v>133.48772973220395</v>
      </c>
      <c r="S64" s="75">
        <f t="shared" si="42"/>
        <v>133.48772973220395</v>
      </c>
      <c r="T64" s="75">
        <f t="shared" si="42"/>
        <v>133.48772973220395</v>
      </c>
      <c r="U64" s="75">
        <f t="shared" si="42"/>
        <v>133.48772973220395</v>
      </c>
      <c r="V64" s="75">
        <f t="shared" si="42"/>
        <v>133.48772973220395</v>
      </c>
    </row>
    <row r="65" spans="1:22" ht="17" customHeight="1" x14ac:dyDescent="0.2">
      <c r="A65" s="26" t="s">
        <v>140</v>
      </c>
      <c r="B65" s="55" t="s">
        <v>138</v>
      </c>
      <c r="C65" s="27"/>
      <c r="D65" s="27"/>
      <c r="E65" s="27"/>
      <c r="F65" s="27"/>
      <c r="G65" s="27"/>
      <c r="H65" s="72">
        <f>SUM('Balance Sheet- Historic'!C46:C47)/SUM('Working '!H25,'Working '!H27)*'Working '!H62</f>
        <v>110.6491340791713</v>
      </c>
      <c r="I65" s="72">
        <f>SUM('Balance Sheet- Historic'!D46:D47)/SUM('Working '!I25,'Working '!I27)*'Working '!I62</f>
        <v>80.213977424210583</v>
      </c>
      <c r="J65" s="72">
        <f>SUM('Balance Sheet- Historic'!E46:E47)/SUM('Working '!J25,'Working '!J27)*'Working '!J62</f>
        <v>60.617039166317291</v>
      </c>
      <c r="K65" s="72">
        <f>SUM('Balance Sheet- Historic'!F46:F47)/SUM('Working '!K25,'Working '!K27)*'Working '!K62</f>
        <v>74.081843015066795</v>
      </c>
      <c r="L65" s="72">
        <f>SUM('Balance Sheet- Historic'!G46:G47)/SUM('Working '!L25,'Working '!L27)*'Working '!L62</f>
        <v>81.974838184066726</v>
      </c>
      <c r="M65" s="75">
        <f>AVERAGE(H65:L65)</f>
        <v>81.50736637376653</v>
      </c>
      <c r="N65" s="75">
        <f>M65</f>
        <v>81.50736637376653</v>
      </c>
      <c r="O65" s="75">
        <f t="shared" ref="O65:V65" si="43">N65</f>
        <v>81.50736637376653</v>
      </c>
      <c r="P65" s="75">
        <f t="shared" si="43"/>
        <v>81.50736637376653</v>
      </c>
      <c r="Q65" s="75">
        <f t="shared" si="43"/>
        <v>81.50736637376653</v>
      </c>
      <c r="R65" s="75">
        <f t="shared" si="43"/>
        <v>81.50736637376653</v>
      </c>
      <c r="S65" s="75">
        <f t="shared" si="43"/>
        <v>81.50736637376653</v>
      </c>
      <c r="T65" s="75">
        <f t="shared" si="43"/>
        <v>81.50736637376653</v>
      </c>
      <c r="U65" s="75">
        <f t="shared" si="43"/>
        <v>81.50736637376653</v>
      </c>
      <c r="V65" s="75">
        <f t="shared" si="43"/>
        <v>81.50736637376653</v>
      </c>
    </row>
    <row r="66" spans="1:22" x14ac:dyDescent="0.2">
      <c r="A66" s="68" t="s">
        <v>162</v>
      </c>
      <c r="B66"/>
      <c r="C66"/>
      <c r="H66" s="72"/>
      <c r="I66" s="72"/>
      <c r="J66" s="72"/>
      <c r="K66" s="72"/>
      <c r="L66" s="72"/>
    </row>
    <row r="67" spans="1:22" x14ac:dyDescent="0.2">
      <c r="A67" s="70" t="s">
        <v>163</v>
      </c>
      <c r="B67" s="55" t="s">
        <v>118</v>
      </c>
      <c r="C67" s="27"/>
      <c r="D67" s="27"/>
      <c r="E67" s="27"/>
      <c r="F67" s="27"/>
      <c r="G67" s="27"/>
      <c r="H67" s="76">
        <v>0</v>
      </c>
      <c r="I67" s="76">
        <f>H70</f>
        <v>139499</v>
      </c>
      <c r="J67" s="76">
        <f t="shared" ref="J67:V67" si="44">I70</f>
        <v>125486</v>
      </c>
      <c r="K67" s="76">
        <f t="shared" si="44"/>
        <v>140732</v>
      </c>
      <c r="L67" s="76">
        <f t="shared" si="44"/>
        <v>231384</v>
      </c>
      <c r="M67" s="77">
        <f t="shared" si="44"/>
        <v>286063</v>
      </c>
      <c r="N67" s="77">
        <f t="shared" si="44"/>
        <v>245349.93399853565</v>
      </c>
      <c r="O67" s="77">
        <f t="shared" si="44"/>
        <v>262524.42937843315</v>
      </c>
      <c r="P67" s="77">
        <f t="shared" si="44"/>
        <v>278824.61423533177</v>
      </c>
      <c r="Q67" s="77">
        <f t="shared" si="44"/>
        <v>297761.77091175335</v>
      </c>
      <c r="R67" s="77">
        <f t="shared" si="44"/>
        <v>315627.47716645862</v>
      </c>
      <c r="S67" s="77">
        <f t="shared" si="44"/>
        <v>334565.12579644617</v>
      </c>
      <c r="T67" s="77">
        <f t="shared" si="44"/>
        <v>352001.81916958059</v>
      </c>
      <c r="U67" s="77">
        <f t="shared" si="44"/>
        <v>372379.34913958941</v>
      </c>
      <c r="V67" s="77">
        <f t="shared" si="44"/>
        <v>390998.31659656885</v>
      </c>
    </row>
    <row r="68" spans="1:22" x14ac:dyDescent="0.2">
      <c r="A68" s="26" t="s">
        <v>164</v>
      </c>
      <c r="B68" s="55" t="s">
        <v>118</v>
      </c>
      <c r="C68" s="27"/>
      <c r="D68" s="27"/>
      <c r="E68" s="27"/>
      <c r="F68" s="27"/>
      <c r="G68" s="27"/>
      <c r="H68" s="76">
        <f>H17</f>
        <v>1018576</v>
      </c>
      <c r="I68" s="76">
        <f t="shared" ref="I68:K68" si="45">I17</f>
        <v>1312392</v>
      </c>
      <c r="J68" s="76">
        <f t="shared" si="45"/>
        <v>1665109</v>
      </c>
      <c r="K68" s="76">
        <f t="shared" si="45"/>
        <v>1837953</v>
      </c>
      <c r="L68" s="76">
        <f>L17</f>
        <v>1940854</v>
      </c>
      <c r="M68" s="77">
        <f t="shared" ref="M68:V68" si="46">M17</f>
        <v>2076713.78</v>
      </c>
      <c r="N68" s="77">
        <f t="shared" si="46"/>
        <v>2222083.7446000003</v>
      </c>
      <c r="O68" s="77">
        <f t="shared" si="46"/>
        <v>2366519.1879990003</v>
      </c>
      <c r="P68" s="77">
        <f t="shared" si="46"/>
        <v>2520342.9352189354</v>
      </c>
      <c r="Q68" s="77">
        <f t="shared" si="46"/>
        <v>2671563.5113320719</v>
      </c>
      <c r="R68" s="77">
        <f t="shared" si="46"/>
        <v>2831857.3220119965</v>
      </c>
      <c r="S68" s="77">
        <f t="shared" si="46"/>
        <v>2987609.474722656</v>
      </c>
      <c r="T68" s="77">
        <f t="shared" si="46"/>
        <v>3151927.9958324018</v>
      </c>
      <c r="U68" s="77">
        <f t="shared" si="46"/>
        <v>3309524.395624022</v>
      </c>
      <c r="V68" s="77">
        <f t="shared" si="46"/>
        <v>3475000.6154052233</v>
      </c>
    </row>
    <row r="69" spans="1:22" x14ac:dyDescent="0.2">
      <c r="A69" s="26" t="s">
        <v>165</v>
      </c>
      <c r="B69" s="55" t="s">
        <v>118</v>
      </c>
      <c r="C69" s="27"/>
      <c r="D69" s="27"/>
      <c r="E69" s="27"/>
      <c r="F69" s="27"/>
      <c r="G69" s="27"/>
      <c r="H69" s="78">
        <f>-(H67+H68-H70)</f>
        <v>-879077</v>
      </c>
      <c r="I69" s="78">
        <f t="shared" ref="I69:L69" si="47">-(I67+I68-I70)</f>
        <v>-1326405</v>
      </c>
      <c r="J69" s="78">
        <f t="shared" si="47"/>
        <v>-1649863</v>
      </c>
      <c r="K69" s="78">
        <f t="shared" si="47"/>
        <v>-1747301</v>
      </c>
      <c r="L69" s="78">
        <f t="shared" si="47"/>
        <v>-1886175</v>
      </c>
      <c r="M69" s="79">
        <f t="shared" ref="M69" si="48">-(M67+M68-M70)</f>
        <v>-2117426.8460014644</v>
      </c>
      <c r="N69" s="79">
        <f t="shared" ref="N69" si="49">-(N67+N68-N70)</f>
        <v>-2204909.249220103</v>
      </c>
      <c r="O69" s="79">
        <f t="shared" ref="O69" si="50">-(O67+O68-O70)</f>
        <v>-2350219.0031421017</v>
      </c>
      <c r="P69" s="79">
        <f t="shared" ref="P69" si="51">-(P67+P68-P70)</f>
        <v>-2501405.778542514</v>
      </c>
      <c r="Q69" s="79">
        <f t="shared" ref="Q69" si="52">-(Q67+Q68-Q70)</f>
        <v>-2653697.8050773665</v>
      </c>
      <c r="R69" s="79">
        <f t="shared" ref="R69" si="53">-(R67+R68-R70)</f>
        <v>-2812919.6733820089</v>
      </c>
      <c r="S69" s="79">
        <f t="shared" ref="S69" si="54">-(S67+S68-S70)</f>
        <v>-2970172.7813495216</v>
      </c>
      <c r="T69" s="79">
        <f t="shared" ref="T69" si="55">-(T67+T68-T70)</f>
        <v>-3131550.4658623929</v>
      </c>
      <c r="U69" s="79">
        <f t="shared" ref="U69" si="56">-(U67+U68-U70)</f>
        <v>-3290905.4281670423</v>
      </c>
      <c r="V69" s="79">
        <f t="shared" ref="V69" si="57">-(V67+V68-V70)</f>
        <v>-3455450.6995753949</v>
      </c>
    </row>
    <row r="70" spans="1:22" x14ac:dyDescent="0.2">
      <c r="A70" s="70" t="s">
        <v>166</v>
      </c>
      <c r="B70" s="55" t="s">
        <v>118</v>
      </c>
      <c r="C70" s="27"/>
      <c r="D70" s="27"/>
      <c r="E70" s="27"/>
      <c r="F70" s="27"/>
      <c r="G70" s="27"/>
      <c r="H70" s="76">
        <f>'Balance Sheet- Historic'!C21</f>
        <v>139499</v>
      </c>
      <c r="I70" s="76">
        <f>'Balance Sheet- Historic'!D21</f>
        <v>125486</v>
      </c>
      <c r="J70" s="76">
        <f>'Balance Sheet- Historic'!E21</f>
        <v>140732</v>
      </c>
      <c r="K70" s="76">
        <f>'Balance Sheet- Historic'!F21</f>
        <v>231384</v>
      </c>
      <c r="L70" s="76">
        <f>'Balance Sheet- Historic'!G21</f>
        <v>286063</v>
      </c>
      <c r="M70" s="77">
        <f>M68*M63/M62</f>
        <v>245349.93399853565</v>
      </c>
      <c r="N70" s="77">
        <f t="shared" ref="N70:V70" si="58">N68*N63/N62</f>
        <v>262524.42937843315</v>
      </c>
      <c r="O70" s="77">
        <f t="shared" si="58"/>
        <v>278824.61423533177</v>
      </c>
      <c r="P70" s="77">
        <f t="shared" si="58"/>
        <v>297761.77091175335</v>
      </c>
      <c r="Q70" s="77">
        <f t="shared" si="58"/>
        <v>315627.47716645862</v>
      </c>
      <c r="R70" s="77">
        <f t="shared" si="58"/>
        <v>334565.12579644617</v>
      </c>
      <c r="S70" s="77">
        <f t="shared" si="58"/>
        <v>352001.81916958059</v>
      </c>
      <c r="T70" s="77">
        <f t="shared" si="58"/>
        <v>372379.34913958941</v>
      </c>
      <c r="U70" s="77">
        <f t="shared" si="58"/>
        <v>390998.31659656885</v>
      </c>
      <c r="V70" s="77">
        <f t="shared" si="58"/>
        <v>410548.23242639739</v>
      </c>
    </row>
    <row r="71" spans="1:22" x14ac:dyDescent="0.2">
      <c r="A71" s="70"/>
      <c r="B71" s="55"/>
      <c r="C71" s="27"/>
      <c r="D71" s="27"/>
      <c r="E71" s="27"/>
      <c r="F71" s="27"/>
      <c r="H71" s="80"/>
      <c r="I71" s="33"/>
      <c r="J71" s="33"/>
      <c r="K71" s="33"/>
      <c r="L71" s="33"/>
      <c r="M71" s="34"/>
      <c r="N71" s="34"/>
      <c r="O71" s="34"/>
      <c r="P71" s="34"/>
      <c r="Q71" s="34"/>
      <c r="R71" s="34"/>
      <c r="S71" s="34"/>
      <c r="T71" s="34"/>
      <c r="U71" s="34"/>
      <c r="V71" s="34"/>
    </row>
    <row r="72" spans="1:22" x14ac:dyDescent="0.2">
      <c r="A72" s="68" t="s">
        <v>169</v>
      </c>
      <c r="B72"/>
      <c r="C72"/>
    </row>
    <row r="73" spans="1:22" x14ac:dyDescent="0.2">
      <c r="A73" s="70" t="s">
        <v>163</v>
      </c>
      <c r="B73" s="55" t="s">
        <v>118</v>
      </c>
      <c r="C73" s="27"/>
      <c r="D73" s="27"/>
      <c r="E73" s="27"/>
      <c r="F73" s="27"/>
      <c r="G73" s="27"/>
      <c r="H73" s="76">
        <v>0</v>
      </c>
      <c r="I73" s="76">
        <f>H76</f>
        <v>113668</v>
      </c>
      <c r="J73" s="76">
        <f t="shared" ref="J73:V73" si="59">I76</f>
        <v>93581</v>
      </c>
      <c r="K73" s="76">
        <f t="shared" si="59"/>
        <v>142781</v>
      </c>
      <c r="L73" s="76">
        <f t="shared" si="59"/>
        <v>136874</v>
      </c>
      <c r="M73" s="77">
        <f t="shared" si="59"/>
        <v>161643</v>
      </c>
      <c r="N73" s="77">
        <f t="shared" si="59"/>
        <v>180220.79737319535</v>
      </c>
      <c r="O73" s="77">
        <f t="shared" si="59"/>
        <v>189079.12089639143</v>
      </c>
      <c r="P73" s="77">
        <f t="shared" si="59"/>
        <v>191042.56203977452</v>
      </c>
      <c r="Q73" s="77">
        <f t="shared" si="59"/>
        <v>196082.96518594321</v>
      </c>
      <c r="R73" s="77">
        <f t="shared" si="59"/>
        <v>199773.50186753366</v>
      </c>
      <c r="S73" s="77">
        <f t="shared" si="59"/>
        <v>203543.36058437926</v>
      </c>
      <c r="T73" s="77">
        <f t="shared" si="59"/>
        <v>214151.52889898862</v>
      </c>
      <c r="U73" s="77">
        <f t="shared" si="59"/>
        <v>226548.84891442864</v>
      </c>
      <c r="V73" s="77">
        <f t="shared" si="59"/>
        <v>237876.29136015012</v>
      </c>
    </row>
    <row r="74" spans="1:22" x14ac:dyDescent="0.2">
      <c r="A74" s="26" t="s">
        <v>167</v>
      </c>
      <c r="B74" s="55" t="s">
        <v>118</v>
      </c>
      <c r="C74" s="27"/>
      <c r="D74" s="27"/>
      <c r="E74" s="27"/>
      <c r="F74" s="27"/>
      <c r="G74" s="27"/>
      <c r="H74" s="76">
        <f>H76-H73-H75</f>
        <v>316605</v>
      </c>
      <c r="I74" s="76">
        <f t="shared" ref="I74:L74" si="60">I76-I73-I75</f>
        <v>272525</v>
      </c>
      <c r="J74" s="76">
        <f t="shared" si="60"/>
        <v>475736</v>
      </c>
      <c r="K74" s="76">
        <f t="shared" si="60"/>
        <v>459328</v>
      </c>
      <c r="L74" s="76">
        <f t="shared" si="60"/>
        <v>531620</v>
      </c>
      <c r="M74" s="77">
        <f t="shared" ref="M74" si="61">M76-M73-M75</f>
        <v>511361.59984838811</v>
      </c>
      <c r="N74" s="77">
        <f t="shared" ref="N74" si="62">N76-N73-N75</f>
        <v>525863.73866985319</v>
      </c>
      <c r="O74" s="77">
        <f t="shared" ref="O74" si="63">O76-O73-O75</f>
        <v>525768.7215750037</v>
      </c>
      <c r="P74" s="77">
        <f t="shared" ref="P74" si="64">P76-P73-P75</f>
        <v>541196.66587121319</v>
      </c>
      <c r="Q74" s="77">
        <f t="shared" ref="Q74" si="65">Q76-Q73-Q75</f>
        <v>549937.95828305674</v>
      </c>
      <c r="R74" s="77">
        <f t="shared" ref="R74" si="66">R76-R73-R75</f>
        <v>560325.33211010648</v>
      </c>
      <c r="S74" s="77">
        <f t="shared" ref="S74" si="67">S76-S73-S75</f>
        <v>597774.19274449942</v>
      </c>
      <c r="T74" s="77">
        <f t="shared" ref="T74" si="68">T76-T73-T75</f>
        <v>631857.47578897397</v>
      </c>
      <c r="U74" s="77">
        <f t="shared" ref="U74" si="69">U76-U73-U75</f>
        <v>661760.60600793222</v>
      </c>
      <c r="V74" s="77">
        <f t="shared" ref="V74" si="70">V76-V73-V75</f>
        <v>694848.63630832871</v>
      </c>
    </row>
    <row r="75" spans="1:22" x14ac:dyDescent="0.2">
      <c r="A75" s="26" t="s">
        <v>168</v>
      </c>
      <c r="B75" s="55" t="s">
        <v>118</v>
      </c>
      <c r="C75" s="27"/>
      <c r="D75" s="27"/>
      <c r="E75" s="27"/>
      <c r="F75" s="27"/>
      <c r="G75" s="27"/>
      <c r="H75" s="78">
        <f>-H33</f>
        <v>-202937</v>
      </c>
      <c r="I75" s="78">
        <f t="shared" ref="I75:L75" si="71">-I33</f>
        <v>-292612</v>
      </c>
      <c r="J75" s="78">
        <f t="shared" si="71"/>
        <v>-426536</v>
      </c>
      <c r="K75" s="78">
        <f t="shared" si="71"/>
        <v>-465235</v>
      </c>
      <c r="L75" s="78">
        <f t="shared" si="71"/>
        <v>-506851</v>
      </c>
      <c r="M75" s="79">
        <f t="shared" ref="M75:V75" si="72">-M33</f>
        <v>-492783.80247519276</v>
      </c>
      <c r="N75" s="79">
        <f t="shared" si="72"/>
        <v>-517005.41514665715</v>
      </c>
      <c r="O75" s="79">
        <f t="shared" si="72"/>
        <v>-523805.2804316206</v>
      </c>
      <c r="P75" s="79">
        <f t="shared" si="72"/>
        <v>-536156.26272504451</v>
      </c>
      <c r="Q75" s="79">
        <f t="shared" si="72"/>
        <v>-546247.42160146625</v>
      </c>
      <c r="R75" s="79">
        <f t="shared" si="72"/>
        <v>-556555.47339326085</v>
      </c>
      <c r="S75" s="79">
        <f t="shared" si="72"/>
        <v>-587166.02442989009</v>
      </c>
      <c r="T75" s="79">
        <f t="shared" si="72"/>
        <v>-619460.15577353397</v>
      </c>
      <c r="U75" s="79">
        <f t="shared" si="72"/>
        <v>-650433.16356221074</v>
      </c>
      <c r="V75" s="79">
        <f t="shared" si="72"/>
        <v>-682954.82174032123</v>
      </c>
    </row>
    <row r="76" spans="1:22" x14ac:dyDescent="0.2">
      <c r="A76" s="70" t="s">
        <v>166</v>
      </c>
      <c r="B76" s="55" t="s">
        <v>118</v>
      </c>
      <c r="C76" s="27"/>
      <c r="D76" s="27"/>
      <c r="E76" s="27"/>
      <c r="F76" s="27"/>
      <c r="G76" s="27"/>
      <c r="H76" s="76">
        <f>'Balance Sheet- Historic'!C20</f>
        <v>113668</v>
      </c>
      <c r="I76" s="76">
        <f>'Balance Sheet- Historic'!D20</f>
        <v>93581</v>
      </c>
      <c r="J76" s="76">
        <f>'Balance Sheet- Historic'!E20</f>
        <v>142781</v>
      </c>
      <c r="K76" s="76">
        <f>'Balance Sheet- Historic'!F20</f>
        <v>136874</v>
      </c>
      <c r="L76" s="76">
        <f>'Balance Sheet- Historic'!G20</f>
        <v>161643</v>
      </c>
      <c r="M76" s="77">
        <f>M64/M62*M33</f>
        <v>180220.79737319535</v>
      </c>
      <c r="N76" s="77">
        <f t="shared" ref="N76:V76" si="73">N64/N62*N33</f>
        <v>189079.12089639143</v>
      </c>
      <c r="O76" s="77">
        <f t="shared" si="73"/>
        <v>191042.56203977452</v>
      </c>
      <c r="P76" s="77">
        <f t="shared" si="73"/>
        <v>196082.96518594321</v>
      </c>
      <c r="Q76" s="77">
        <f t="shared" si="73"/>
        <v>199773.50186753366</v>
      </c>
      <c r="R76" s="77">
        <f t="shared" si="73"/>
        <v>203543.36058437926</v>
      </c>
      <c r="S76" s="77">
        <f t="shared" si="73"/>
        <v>214151.52889898862</v>
      </c>
      <c r="T76" s="77">
        <f t="shared" si="73"/>
        <v>226548.84891442864</v>
      </c>
      <c r="U76" s="77">
        <f t="shared" si="73"/>
        <v>237876.29136015012</v>
      </c>
      <c r="V76" s="77">
        <f t="shared" si="73"/>
        <v>249770.1059281576</v>
      </c>
    </row>
    <row r="77" spans="1:22" x14ac:dyDescent="0.2">
      <c r="A77" s="70"/>
      <c r="B77" s="55"/>
      <c r="C77" s="27"/>
      <c r="D77" s="27"/>
      <c r="E77" s="27"/>
      <c r="F77" s="27"/>
      <c r="G77" s="27"/>
      <c r="H77"/>
      <c r="I77"/>
      <c r="J77"/>
      <c r="K77"/>
      <c r="L77"/>
      <c r="M77"/>
      <c r="N77"/>
      <c r="O77"/>
      <c r="P77"/>
      <c r="Q77"/>
      <c r="R77"/>
      <c r="S77"/>
      <c r="T77"/>
      <c r="U77"/>
      <c r="V77"/>
    </row>
    <row r="78" spans="1:22" ht="18" customHeight="1" x14ac:dyDescent="0.2">
      <c r="A78" s="68" t="s">
        <v>170</v>
      </c>
      <c r="B78"/>
      <c r="C78"/>
      <c r="E78"/>
      <c r="F78"/>
      <c r="G78"/>
      <c r="H78"/>
      <c r="I78"/>
      <c r="J78"/>
      <c r="K78"/>
    </row>
    <row r="79" spans="1:22" x14ac:dyDescent="0.2">
      <c r="A79" s="70" t="s">
        <v>163</v>
      </c>
      <c r="B79" s="55" t="s">
        <v>118</v>
      </c>
      <c r="C79" s="27"/>
      <c r="D79" s="27"/>
      <c r="E79" s="27"/>
      <c r="F79" s="27"/>
      <c r="G79" s="27"/>
      <c r="H79" s="76">
        <v>0</v>
      </c>
      <c r="I79" s="76">
        <f>H82</f>
        <v>61808</v>
      </c>
      <c r="J79" s="76">
        <f t="shared" ref="J79:L79" si="74">I82</f>
        <v>63800</v>
      </c>
      <c r="K79" s="76">
        <f t="shared" si="74"/>
        <v>71698</v>
      </c>
      <c r="L79" s="76">
        <f t="shared" si="74"/>
        <v>94845</v>
      </c>
      <c r="M79" s="77">
        <f>L82</f>
        <v>114955</v>
      </c>
      <c r="N79" s="77">
        <f t="shared" ref="N79:V79" si="75">M82</f>
        <v>110042.49296274887</v>
      </c>
      <c r="O79" s="77">
        <f t="shared" si="75"/>
        <v>115451.36928652013</v>
      </c>
      <c r="P79" s="77">
        <f t="shared" si="75"/>
        <v>116650.24289796071</v>
      </c>
      <c r="Q79" s="77">
        <f t="shared" si="75"/>
        <v>119727.90394388938</v>
      </c>
      <c r="R79" s="77">
        <f t="shared" si="75"/>
        <v>121981.33896766033</v>
      </c>
      <c r="S79" s="77">
        <f t="shared" si="75"/>
        <v>124283.20788271117</v>
      </c>
      <c r="T79" s="77">
        <f t="shared" si="75"/>
        <v>130760.53627168032</v>
      </c>
      <c r="U79" s="77">
        <f t="shared" si="75"/>
        <v>138330.31745365457</v>
      </c>
      <c r="V79" s="77">
        <f t="shared" si="75"/>
        <v>145246.83332633731</v>
      </c>
    </row>
    <row r="80" spans="1:22" x14ac:dyDescent="0.2">
      <c r="A80" s="26" t="s">
        <v>177</v>
      </c>
      <c r="B80" s="55" t="s">
        <v>118</v>
      </c>
      <c r="C80" s="27"/>
      <c r="D80" s="27"/>
      <c r="E80" s="27"/>
      <c r="F80" s="27"/>
      <c r="G80" s="27"/>
      <c r="H80" s="76">
        <f>H33</f>
        <v>202937</v>
      </c>
      <c r="I80" s="76">
        <f t="shared" ref="I80:V80" si="76">I33</f>
        <v>292612</v>
      </c>
      <c r="J80" s="76">
        <f t="shared" si="76"/>
        <v>426536</v>
      </c>
      <c r="K80" s="76">
        <f t="shared" si="76"/>
        <v>465235</v>
      </c>
      <c r="L80" s="76">
        <f t="shared" si="76"/>
        <v>506851</v>
      </c>
      <c r="M80" s="77">
        <f>M33</f>
        <v>492783.80247519276</v>
      </c>
      <c r="N80" s="77">
        <f t="shared" si="76"/>
        <v>517005.41514665715</v>
      </c>
      <c r="O80" s="77">
        <f t="shared" si="76"/>
        <v>523805.2804316206</v>
      </c>
      <c r="P80" s="77">
        <f t="shared" si="76"/>
        <v>536156.26272504451</v>
      </c>
      <c r="Q80" s="77">
        <f t="shared" si="76"/>
        <v>546247.42160146625</v>
      </c>
      <c r="R80" s="77">
        <f t="shared" si="76"/>
        <v>556555.47339326085</v>
      </c>
      <c r="S80" s="77">
        <f t="shared" si="76"/>
        <v>587166.02442989009</v>
      </c>
      <c r="T80" s="77">
        <f t="shared" si="76"/>
        <v>619460.15577353397</v>
      </c>
      <c r="U80" s="77">
        <f t="shared" si="76"/>
        <v>650433.16356221074</v>
      </c>
      <c r="V80" s="77">
        <f t="shared" si="76"/>
        <v>682954.82174032123</v>
      </c>
    </row>
    <row r="81" spans="1:22" x14ac:dyDescent="0.2">
      <c r="A81" s="26" t="s">
        <v>171</v>
      </c>
      <c r="B81" s="55" t="s">
        <v>118</v>
      </c>
      <c r="C81" s="27"/>
      <c r="D81" s="27"/>
      <c r="E81" s="27"/>
      <c r="F81" s="27"/>
      <c r="G81" s="27"/>
      <c r="H81" s="78">
        <f>-(H79+H80-H82)</f>
        <v>-141129</v>
      </c>
      <c r="I81" s="78">
        <f t="shared" ref="I81:L81" si="77">-(I79+I80-I82)</f>
        <v>-290620</v>
      </c>
      <c r="J81" s="78">
        <f t="shared" si="77"/>
        <v>-418638</v>
      </c>
      <c r="K81" s="78">
        <f t="shared" si="77"/>
        <v>-442088</v>
      </c>
      <c r="L81" s="78">
        <f t="shared" si="77"/>
        <v>-486741</v>
      </c>
      <c r="M81" s="79">
        <f t="shared" ref="M81" si="78">-(M79+M80-M82)</f>
        <v>-497696.30951244396</v>
      </c>
      <c r="N81" s="79">
        <f t="shared" ref="N81" si="79">-(N79+N80-N82)</f>
        <v>-511596.53882288589</v>
      </c>
      <c r="O81" s="79">
        <f t="shared" ref="O81" si="80">-(O79+O80-O82)</f>
        <v>-522606.40682018001</v>
      </c>
      <c r="P81" s="79">
        <f t="shared" ref="P81" si="81">-(P79+P80-P82)</f>
        <v>-533078.60167911579</v>
      </c>
      <c r="Q81" s="79">
        <f t="shared" ref="Q81" si="82">-(Q79+Q80-Q82)</f>
        <v>-543993.98657769535</v>
      </c>
      <c r="R81" s="79">
        <f t="shared" ref="R81" si="83">-(R79+R80-R82)</f>
        <v>-554253.60447820998</v>
      </c>
      <c r="S81" s="79">
        <f t="shared" ref="S81" si="84">-(S79+S80-S82)</f>
        <v>-580688.69604092091</v>
      </c>
      <c r="T81" s="79">
        <f t="shared" ref="T81" si="85">-(T79+T80-T82)</f>
        <v>-611890.37459155975</v>
      </c>
      <c r="U81" s="79">
        <f t="shared" ref="U81" si="86">-(U79+U80-U82)</f>
        <v>-643516.64768952806</v>
      </c>
      <c r="V81" s="79">
        <f t="shared" ref="V81" si="87">-(V79+V80-V82)</f>
        <v>-675692.48007400427</v>
      </c>
    </row>
    <row r="82" spans="1:22" x14ac:dyDescent="0.2">
      <c r="A82" s="70" t="s">
        <v>166</v>
      </c>
      <c r="B82" s="55" t="s">
        <v>118</v>
      </c>
      <c r="C82" s="27"/>
      <c r="D82" s="27"/>
      <c r="E82" s="27"/>
      <c r="F82" s="27"/>
      <c r="G82" s="27"/>
      <c r="H82" s="76">
        <f>SUM('Balance Sheet- Historic'!C46:C47)</f>
        <v>61808</v>
      </c>
      <c r="I82" s="76">
        <f>SUM('Balance Sheet- Historic'!D46:D47)</f>
        <v>63800</v>
      </c>
      <c r="J82" s="76">
        <f>SUM('Balance Sheet- Historic'!E46:E47)</f>
        <v>71698</v>
      </c>
      <c r="K82" s="76">
        <f>SUM('Balance Sheet- Historic'!F46:F47)</f>
        <v>94845</v>
      </c>
      <c r="L82" s="76">
        <f>SUM('Balance Sheet- Historic'!G46:G47)</f>
        <v>114955</v>
      </c>
      <c r="M82" s="77">
        <f>M33/M62*M65</f>
        <v>110042.49296274887</v>
      </c>
      <c r="N82" s="77">
        <f t="shared" ref="N82:V82" si="88">N33/N62*N65</f>
        <v>115451.36928652013</v>
      </c>
      <c r="O82" s="77">
        <f t="shared" si="88"/>
        <v>116650.24289796071</v>
      </c>
      <c r="P82" s="77">
        <f t="shared" si="88"/>
        <v>119727.90394388938</v>
      </c>
      <c r="Q82" s="77">
        <f t="shared" si="88"/>
        <v>121981.33896766033</v>
      </c>
      <c r="R82" s="77">
        <f t="shared" si="88"/>
        <v>124283.20788271117</v>
      </c>
      <c r="S82" s="77">
        <f t="shared" si="88"/>
        <v>130760.53627168032</v>
      </c>
      <c r="T82" s="77">
        <f t="shared" si="88"/>
        <v>138330.31745365457</v>
      </c>
      <c r="U82" s="77">
        <f t="shared" si="88"/>
        <v>145246.83332633731</v>
      </c>
      <c r="V82" s="77">
        <f t="shared" si="88"/>
        <v>152509.17499265418</v>
      </c>
    </row>
    <row r="83" spans="1:22" x14ac:dyDescent="0.2">
      <c r="A83" s="70"/>
      <c r="B83" s="55"/>
      <c r="C83" s="27"/>
      <c r="D83" s="27"/>
      <c r="E83" s="27"/>
      <c r="F83" s="27"/>
      <c r="G83" s="27"/>
      <c r="H83" s="33"/>
      <c r="I83" s="33"/>
      <c r="J83" s="33"/>
      <c r="K83" s="33"/>
      <c r="L83" s="33"/>
      <c r="M83" s="33"/>
      <c r="N83" s="33"/>
      <c r="O83" s="33"/>
      <c r="P83" s="33"/>
      <c r="Q83" s="33"/>
      <c r="R83" s="33"/>
      <c r="S83" s="33"/>
      <c r="T83" s="33"/>
      <c r="U83" s="33"/>
      <c r="V83" s="33"/>
    </row>
    <row r="84" spans="1:22" x14ac:dyDescent="0.2">
      <c r="A84" s="68" t="s">
        <v>172</v>
      </c>
      <c r="B84"/>
      <c r="C84"/>
    </row>
    <row r="85" spans="1:22" x14ac:dyDescent="0.2">
      <c r="A85" s="70" t="s">
        <v>173</v>
      </c>
      <c r="B85" s="55" t="s">
        <v>118</v>
      </c>
      <c r="C85" s="27"/>
      <c r="D85" s="27"/>
      <c r="E85" s="27"/>
      <c r="F85" s="27"/>
      <c r="G85" s="27"/>
      <c r="H85" s="76">
        <f>H70</f>
        <v>139499</v>
      </c>
      <c r="I85" s="76">
        <f t="shared" ref="I85:V85" si="89">I70</f>
        <v>125486</v>
      </c>
      <c r="J85" s="76">
        <f t="shared" si="89"/>
        <v>140732</v>
      </c>
      <c r="K85" s="76">
        <f t="shared" si="89"/>
        <v>231384</v>
      </c>
      <c r="L85" s="76">
        <f t="shared" si="89"/>
        <v>286063</v>
      </c>
      <c r="M85" s="77">
        <f t="shared" si="89"/>
        <v>245349.93399853565</v>
      </c>
      <c r="N85" s="77">
        <f t="shared" si="89"/>
        <v>262524.42937843315</v>
      </c>
      <c r="O85" s="77">
        <f t="shared" si="89"/>
        <v>278824.61423533177</v>
      </c>
      <c r="P85" s="77">
        <f t="shared" si="89"/>
        <v>297761.77091175335</v>
      </c>
      <c r="Q85" s="77">
        <f t="shared" si="89"/>
        <v>315627.47716645862</v>
      </c>
      <c r="R85" s="77">
        <f t="shared" si="89"/>
        <v>334565.12579644617</v>
      </c>
      <c r="S85" s="77">
        <f t="shared" si="89"/>
        <v>352001.81916958059</v>
      </c>
      <c r="T85" s="77">
        <f t="shared" si="89"/>
        <v>372379.34913958941</v>
      </c>
      <c r="U85" s="77">
        <f t="shared" si="89"/>
        <v>390998.31659656885</v>
      </c>
      <c r="V85" s="77">
        <f t="shared" si="89"/>
        <v>410548.23242639739</v>
      </c>
    </row>
    <row r="86" spans="1:22" x14ac:dyDescent="0.2">
      <c r="A86" s="70" t="s">
        <v>169</v>
      </c>
      <c r="B86" s="55" t="s">
        <v>118</v>
      </c>
      <c r="C86" s="27"/>
      <c r="D86" s="27"/>
      <c r="E86" s="27"/>
      <c r="F86" s="27"/>
      <c r="G86" s="27"/>
      <c r="H86" s="76">
        <f>H76</f>
        <v>113668</v>
      </c>
      <c r="I86" s="76">
        <f t="shared" ref="I86:V86" si="90">I76</f>
        <v>93581</v>
      </c>
      <c r="J86" s="76">
        <f t="shared" si="90"/>
        <v>142781</v>
      </c>
      <c r="K86" s="76">
        <f t="shared" si="90"/>
        <v>136874</v>
      </c>
      <c r="L86" s="76">
        <f t="shared" si="90"/>
        <v>161643</v>
      </c>
      <c r="M86" s="77">
        <f t="shared" si="90"/>
        <v>180220.79737319535</v>
      </c>
      <c r="N86" s="77">
        <f t="shared" si="90"/>
        <v>189079.12089639143</v>
      </c>
      <c r="O86" s="77">
        <f t="shared" si="90"/>
        <v>191042.56203977452</v>
      </c>
      <c r="P86" s="77">
        <f t="shared" si="90"/>
        <v>196082.96518594321</v>
      </c>
      <c r="Q86" s="77">
        <f t="shared" si="90"/>
        <v>199773.50186753366</v>
      </c>
      <c r="R86" s="77">
        <f t="shared" si="90"/>
        <v>203543.36058437926</v>
      </c>
      <c r="S86" s="77">
        <f t="shared" si="90"/>
        <v>214151.52889898862</v>
      </c>
      <c r="T86" s="77">
        <f t="shared" si="90"/>
        <v>226548.84891442864</v>
      </c>
      <c r="U86" s="77">
        <f t="shared" si="90"/>
        <v>237876.29136015012</v>
      </c>
      <c r="V86" s="77">
        <f t="shared" si="90"/>
        <v>249770.1059281576</v>
      </c>
    </row>
    <row r="87" spans="1:22" x14ac:dyDescent="0.2">
      <c r="A87" s="70" t="s">
        <v>174</v>
      </c>
      <c r="B87" s="55" t="s">
        <v>118</v>
      </c>
      <c r="C87" s="27"/>
      <c r="D87" s="27"/>
      <c r="E87" s="27"/>
      <c r="F87" s="27"/>
      <c r="G87" s="27"/>
      <c r="H87" s="78">
        <f>-H82</f>
        <v>-61808</v>
      </c>
      <c r="I87" s="78">
        <f t="shared" ref="I87:V87" si="91">-I82</f>
        <v>-63800</v>
      </c>
      <c r="J87" s="78">
        <f t="shared" si="91"/>
        <v>-71698</v>
      </c>
      <c r="K87" s="78">
        <f t="shared" si="91"/>
        <v>-94845</v>
      </c>
      <c r="L87" s="78">
        <f t="shared" si="91"/>
        <v>-114955</v>
      </c>
      <c r="M87" s="79">
        <f t="shared" si="91"/>
        <v>-110042.49296274887</v>
      </c>
      <c r="N87" s="79">
        <f t="shared" si="91"/>
        <v>-115451.36928652013</v>
      </c>
      <c r="O87" s="79">
        <f t="shared" si="91"/>
        <v>-116650.24289796071</v>
      </c>
      <c r="P87" s="79">
        <f t="shared" si="91"/>
        <v>-119727.90394388938</v>
      </c>
      <c r="Q87" s="79">
        <f t="shared" si="91"/>
        <v>-121981.33896766033</v>
      </c>
      <c r="R87" s="79">
        <f t="shared" si="91"/>
        <v>-124283.20788271117</v>
      </c>
      <c r="S87" s="79">
        <f t="shared" si="91"/>
        <v>-130760.53627168032</v>
      </c>
      <c r="T87" s="79">
        <f t="shared" si="91"/>
        <v>-138330.31745365457</v>
      </c>
      <c r="U87" s="79">
        <f t="shared" si="91"/>
        <v>-145246.83332633731</v>
      </c>
      <c r="V87" s="79">
        <f t="shared" si="91"/>
        <v>-152509.17499265418</v>
      </c>
    </row>
    <row r="88" spans="1:22" x14ac:dyDescent="0.2">
      <c r="A88" s="70" t="s">
        <v>172</v>
      </c>
      <c r="B88" s="55" t="s">
        <v>118</v>
      </c>
      <c r="C88" s="27"/>
      <c r="D88" s="27"/>
      <c r="E88" s="27"/>
      <c r="F88" s="27"/>
      <c r="G88" s="27"/>
      <c r="H88" s="76">
        <f>SUM(H85:H87)</f>
        <v>191359</v>
      </c>
      <c r="I88" s="76">
        <f t="shared" ref="I88:V88" si="92">SUM(I85:I87)</f>
        <v>155267</v>
      </c>
      <c r="J88" s="76">
        <f t="shared" si="92"/>
        <v>211815</v>
      </c>
      <c r="K88" s="76">
        <f t="shared" si="92"/>
        <v>273413</v>
      </c>
      <c r="L88" s="76">
        <f>SUM(L85:L87)</f>
        <v>332751</v>
      </c>
      <c r="M88" s="77">
        <f t="shared" si="92"/>
        <v>315528.23840898217</v>
      </c>
      <c r="N88" s="77">
        <f t="shared" si="92"/>
        <v>336152.18098830449</v>
      </c>
      <c r="O88" s="77">
        <f t="shared" si="92"/>
        <v>353216.93337714556</v>
      </c>
      <c r="P88" s="77">
        <f t="shared" si="92"/>
        <v>374116.83215380722</v>
      </c>
      <c r="Q88" s="77">
        <f t="shared" si="92"/>
        <v>393419.64006633195</v>
      </c>
      <c r="R88" s="77">
        <f t="shared" si="92"/>
        <v>413825.2784981142</v>
      </c>
      <c r="S88" s="77">
        <f t="shared" si="92"/>
        <v>435392.81179688888</v>
      </c>
      <c r="T88" s="77">
        <f t="shared" si="92"/>
        <v>460597.88060036348</v>
      </c>
      <c r="U88" s="77">
        <f t="shared" si="92"/>
        <v>483627.77463038173</v>
      </c>
      <c r="V88" s="77">
        <f t="shared" si="92"/>
        <v>507809.16336190078</v>
      </c>
    </row>
    <row r="89" spans="1:22" x14ac:dyDescent="0.2">
      <c r="A89" s="70" t="s">
        <v>175</v>
      </c>
      <c r="B89" s="55" t="s">
        <v>118</v>
      </c>
      <c r="C89" s="27"/>
      <c r="D89" s="27"/>
      <c r="E89" s="27"/>
      <c r="F89" s="27"/>
      <c r="G89" s="27"/>
      <c r="H89" s="76"/>
      <c r="I89" s="76">
        <f>I88-H88</f>
        <v>-36092</v>
      </c>
      <c r="J89" s="76">
        <f t="shared" ref="J89:V89" si="93">J88-I88</f>
        <v>56548</v>
      </c>
      <c r="K89" s="76">
        <f t="shared" si="93"/>
        <v>61598</v>
      </c>
      <c r="L89" s="76">
        <f t="shared" si="93"/>
        <v>59338</v>
      </c>
      <c r="M89" s="77">
        <f t="shared" si="93"/>
        <v>-17222.761591017828</v>
      </c>
      <c r="N89" s="77">
        <f t="shared" si="93"/>
        <v>20623.94257932232</v>
      </c>
      <c r="O89" s="77">
        <f t="shared" si="93"/>
        <v>17064.752388841065</v>
      </c>
      <c r="P89" s="77">
        <f t="shared" si="93"/>
        <v>20899.898776661663</v>
      </c>
      <c r="Q89" s="77">
        <f t="shared" si="93"/>
        <v>19302.807912524731</v>
      </c>
      <c r="R89" s="77">
        <f t="shared" si="93"/>
        <v>20405.638431782252</v>
      </c>
      <c r="S89" s="77">
        <f t="shared" si="93"/>
        <v>21567.533298774681</v>
      </c>
      <c r="T89" s="77">
        <f t="shared" si="93"/>
        <v>25205.068803474598</v>
      </c>
      <c r="U89" s="77">
        <f t="shared" si="93"/>
        <v>23029.894030018244</v>
      </c>
      <c r="V89" s="77">
        <f t="shared" si="93"/>
        <v>24181.388731519051</v>
      </c>
    </row>
    <row r="91" spans="1:22" s="321" customFormat="1" ht="20" customHeight="1" x14ac:dyDescent="0.2">
      <c r="A91" s="69" t="s">
        <v>141</v>
      </c>
      <c r="B91" s="36"/>
      <c r="C91" s="37"/>
      <c r="D91" s="37"/>
      <c r="E91" s="37"/>
      <c r="F91" s="37"/>
      <c r="G91" s="37"/>
      <c r="H91" s="37"/>
      <c r="I91" s="37"/>
      <c r="J91" s="37"/>
      <c r="K91" s="37"/>
      <c r="L91" s="37"/>
      <c r="M91" s="37"/>
      <c r="N91" s="37"/>
      <c r="O91" s="37"/>
      <c r="P91" s="37"/>
      <c r="Q91" s="37"/>
      <c r="R91" s="37"/>
      <c r="S91" s="37"/>
      <c r="T91" s="37"/>
      <c r="U91" s="37"/>
      <c r="V91" s="37"/>
    </row>
    <row r="92" spans="1:22" ht="17" customHeight="1" x14ac:dyDescent="0.2">
      <c r="A92" s="68" t="s">
        <v>142</v>
      </c>
      <c r="B92" s="53"/>
      <c r="C92" s="21"/>
      <c r="D92" s="21"/>
      <c r="E92" s="21"/>
      <c r="F92" s="21"/>
      <c r="G92" s="21"/>
      <c r="H92" s="21"/>
      <c r="I92" s="21"/>
      <c r="J92" s="21"/>
      <c r="K92" s="21"/>
      <c r="L92" s="21"/>
      <c r="M92" s="21"/>
      <c r="N92" s="21"/>
      <c r="O92" s="21"/>
      <c r="P92" s="21"/>
      <c r="Q92" s="21"/>
      <c r="R92" s="21"/>
      <c r="S92" s="21"/>
      <c r="T92" s="21"/>
      <c r="U92" s="21"/>
      <c r="V92" s="21"/>
    </row>
    <row r="93" spans="1:22" ht="16" customHeight="1" x14ac:dyDescent="0.2">
      <c r="A93" s="26" t="s">
        <v>142</v>
      </c>
      <c r="B93" s="55" t="s">
        <v>118</v>
      </c>
      <c r="C93" s="27"/>
      <c r="D93" s="27"/>
      <c r="E93" s="27"/>
      <c r="F93" s="27"/>
      <c r="G93" s="27"/>
      <c r="H93" s="82">
        <f>-H100</f>
        <v>-20282</v>
      </c>
      <c r="I93" s="82">
        <f t="shared" ref="I93:L93" si="94">-I100</f>
        <v>-16174</v>
      </c>
      <c r="J93" s="82">
        <f t="shared" si="94"/>
        <v>-11595</v>
      </c>
      <c r="K93" s="82">
        <f t="shared" si="94"/>
        <v>-23200</v>
      </c>
      <c r="L93" s="82">
        <f t="shared" si="94"/>
        <v>-28703</v>
      </c>
      <c r="M93" s="43">
        <f>M17*M94</f>
        <v>-27666.509099693947</v>
      </c>
      <c r="N93" s="43">
        <f t="shared" ref="N93:V93" si="95">N17*N94</f>
        <v>-29603.16473667253</v>
      </c>
      <c r="O93" s="43">
        <f t="shared" si="95"/>
        <v>-31527.370444556243</v>
      </c>
      <c r="P93" s="43">
        <f t="shared" si="95"/>
        <v>-33576.649523452397</v>
      </c>
      <c r="Q93" s="43">
        <f t="shared" si="95"/>
        <v>-35591.248494859545</v>
      </c>
      <c r="R93" s="43">
        <f t="shared" si="95"/>
        <v>-37726.723404551129</v>
      </c>
      <c r="S93" s="43">
        <f t="shared" si="95"/>
        <v>-39801.693191801431</v>
      </c>
      <c r="T93" s="43">
        <f t="shared" si="95"/>
        <v>-41990.78631735051</v>
      </c>
      <c r="U93" s="43">
        <f t="shared" si="95"/>
        <v>-44090.325633218032</v>
      </c>
      <c r="V93" s="43">
        <f t="shared" si="95"/>
        <v>-46294.84191487894</v>
      </c>
    </row>
    <row r="94" spans="1:22" ht="16" customHeight="1" x14ac:dyDescent="0.2">
      <c r="A94" s="26" t="s">
        <v>143</v>
      </c>
      <c r="B94" s="55" t="s">
        <v>124</v>
      </c>
      <c r="C94" s="27"/>
      <c r="D94" s="27"/>
      <c r="E94" s="27"/>
      <c r="F94" s="27"/>
      <c r="G94" s="27"/>
      <c r="H94" s="86">
        <f>H93/H17</f>
        <v>-1.9912112596409105E-2</v>
      </c>
      <c r="I94" s="86">
        <f t="shared" ref="I94:L94" si="96">I93/I17</f>
        <v>-1.2324061713268596E-2</v>
      </c>
      <c r="J94" s="86">
        <f t="shared" si="96"/>
        <v>-6.9635080946652741E-3</v>
      </c>
      <c r="K94" s="86">
        <f t="shared" si="96"/>
        <v>-1.2622738448698091E-2</v>
      </c>
      <c r="L94" s="86">
        <f t="shared" si="96"/>
        <v>-1.478885068119498E-2</v>
      </c>
      <c r="M94" s="87">
        <f>AVERAGE(H94:L94)</f>
        <v>-1.3322254306847209E-2</v>
      </c>
      <c r="N94" s="87">
        <f>M94</f>
        <v>-1.3322254306847209E-2</v>
      </c>
      <c r="O94" s="87">
        <f t="shared" ref="O94:V94" si="97">N94</f>
        <v>-1.3322254306847209E-2</v>
      </c>
      <c r="P94" s="87">
        <f t="shared" si="97"/>
        <v>-1.3322254306847209E-2</v>
      </c>
      <c r="Q94" s="87">
        <f t="shared" si="97"/>
        <v>-1.3322254306847209E-2</v>
      </c>
      <c r="R94" s="87">
        <f t="shared" si="97"/>
        <v>-1.3322254306847209E-2</v>
      </c>
      <c r="S94" s="87">
        <f t="shared" si="97"/>
        <v>-1.3322254306847209E-2</v>
      </c>
      <c r="T94" s="87">
        <f t="shared" si="97"/>
        <v>-1.3322254306847209E-2</v>
      </c>
      <c r="U94" s="87">
        <f t="shared" si="97"/>
        <v>-1.3322254306847209E-2</v>
      </c>
      <c r="V94" s="87">
        <f t="shared" si="97"/>
        <v>-1.3322254306847209E-2</v>
      </c>
    </row>
    <row r="95" spans="1:22" ht="16" customHeight="1" x14ac:dyDescent="0.2">
      <c r="A95" s="26"/>
      <c r="B95" s="55"/>
      <c r="C95" s="27"/>
      <c r="D95" s="27"/>
      <c r="E95" s="27"/>
      <c r="F95" s="27"/>
      <c r="G95" s="27"/>
      <c r="H95" s="28"/>
      <c r="I95" s="28"/>
      <c r="J95" s="28"/>
      <c r="K95" s="28"/>
      <c r="L95" s="28"/>
      <c r="M95" s="29"/>
      <c r="N95" s="29"/>
      <c r="O95" s="29"/>
      <c r="P95" s="29"/>
      <c r="Q95" s="29"/>
      <c r="R95" s="29"/>
      <c r="S95" s="29"/>
      <c r="T95" s="29"/>
      <c r="U95" s="29"/>
      <c r="V95" s="29"/>
    </row>
    <row r="96" spans="1:22" ht="16" customHeight="1" x14ac:dyDescent="0.2">
      <c r="A96" s="26" t="s">
        <v>133</v>
      </c>
      <c r="B96" s="55" t="s">
        <v>118</v>
      </c>
      <c r="C96" s="27"/>
      <c r="D96" s="27"/>
      <c r="E96" s="27"/>
      <c r="F96" s="27"/>
      <c r="G96" s="27"/>
      <c r="H96" s="41">
        <f>H48</f>
        <v>23201</v>
      </c>
      <c r="I96" s="41">
        <f t="shared" ref="I96:L96" si="98">I48</f>
        <v>21719</v>
      </c>
      <c r="J96" s="41">
        <f t="shared" si="98"/>
        <v>21059</v>
      </c>
      <c r="K96" s="41">
        <f t="shared" si="98"/>
        <v>21190</v>
      </c>
      <c r="L96" s="41">
        <f t="shared" si="98"/>
        <v>23298</v>
      </c>
      <c r="M96" s="43">
        <f>M17*M97</f>
        <v>31361.449178577066</v>
      </c>
      <c r="N96" s="43">
        <f t="shared" ref="N96:V96" si="99">N17*N97</f>
        <v>33556.750621077466</v>
      </c>
      <c r="O96" s="43">
        <f t="shared" si="99"/>
        <v>35737.9394114475</v>
      </c>
      <c r="P96" s="43">
        <f t="shared" si="99"/>
        <v>38060.905473191589</v>
      </c>
      <c r="Q96" s="43">
        <f t="shared" si="99"/>
        <v>40344.559801583091</v>
      </c>
      <c r="R96" s="43">
        <f t="shared" si="99"/>
        <v>42765.233389678084</v>
      </c>
      <c r="S96" s="43">
        <f t="shared" si="99"/>
        <v>45117.321226110369</v>
      </c>
      <c r="T96" s="43">
        <f t="shared" si="99"/>
        <v>47598.773893546437</v>
      </c>
      <c r="U96" s="43">
        <f t="shared" si="99"/>
        <v>49978.71258822376</v>
      </c>
      <c r="V96" s="43">
        <f t="shared" si="99"/>
        <v>52477.648217634953</v>
      </c>
    </row>
    <row r="97" spans="1:22" ht="16" customHeight="1" x14ac:dyDescent="0.2">
      <c r="A97" s="26" t="s">
        <v>134</v>
      </c>
      <c r="B97" s="55" t="s">
        <v>124</v>
      </c>
      <c r="C97" s="27"/>
      <c r="D97" s="27"/>
      <c r="E97" s="27"/>
      <c r="F97" s="27"/>
      <c r="G97" s="27"/>
      <c r="H97" s="86">
        <f>H49</f>
        <v>2.2777878135750301E-2</v>
      </c>
      <c r="I97" s="86">
        <f t="shared" ref="I97:L97" si="100">I49</f>
        <v>1.6549171284189479E-2</v>
      </c>
      <c r="J97" s="86">
        <f t="shared" si="100"/>
        <v>1.2647220091897888E-2</v>
      </c>
      <c r="K97" s="86">
        <f t="shared" si="100"/>
        <v>1.152913050551347E-2</v>
      </c>
      <c r="L97" s="86">
        <f t="shared" si="100"/>
        <v>1.2003994118053187E-2</v>
      </c>
      <c r="M97" s="87">
        <f>AVERAGE(H97:L97)</f>
        <v>1.5101478827080864E-2</v>
      </c>
      <c r="N97" s="87">
        <f>M97</f>
        <v>1.5101478827080864E-2</v>
      </c>
      <c r="O97" s="87">
        <f t="shared" ref="O97:V97" si="101">N97</f>
        <v>1.5101478827080864E-2</v>
      </c>
      <c r="P97" s="87">
        <f t="shared" si="101"/>
        <v>1.5101478827080864E-2</v>
      </c>
      <c r="Q97" s="87">
        <f t="shared" si="101"/>
        <v>1.5101478827080864E-2</v>
      </c>
      <c r="R97" s="87">
        <f t="shared" si="101"/>
        <v>1.5101478827080864E-2</v>
      </c>
      <c r="S97" s="87">
        <f t="shared" si="101"/>
        <v>1.5101478827080864E-2</v>
      </c>
      <c r="T97" s="87">
        <f t="shared" si="101"/>
        <v>1.5101478827080864E-2</v>
      </c>
      <c r="U97" s="87">
        <f t="shared" si="101"/>
        <v>1.5101478827080864E-2</v>
      </c>
      <c r="V97" s="87">
        <f t="shared" si="101"/>
        <v>1.5101478827080864E-2</v>
      </c>
    </row>
    <row r="98" spans="1:22" ht="16" customHeight="1" x14ac:dyDescent="0.2">
      <c r="A98" s="26"/>
      <c r="B98" s="55"/>
      <c r="C98" s="27"/>
      <c r="D98" s="27"/>
      <c r="E98" s="27"/>
      <c r="F98" s="27"/>
      <c r="G98" s="27"/>
      <c r="H98" s="3"/>
      <c r="I98" s="28"/>
      <c r="J98" s="28"/>
      <c r="K98" s="28"/>
      <c r="L98" s="28"/>
      <c r="M98" s="29"/>
      <c r="N98" s="29"/>
      <c r="O98" s="29"/>
      <c r="P98" s="29"/>
      <c r="Q98" s="29"/>
      <c r="R98" s="29"/>
      <c r="S98" s="29"/>
      <c r="T98" s="29"/>
      <c r="U98" s="29"/>
      <c r="V98" s="29"/>
    </row>
    <row r="99" spans="1:22" ht="16" customHeight="1" x14ac:dyDescent="0.2">
      <c r="A99" s="26" t="s">
        <v>180</v>
      </c>
      <c r="B99" s="55" t="s">
        <v>118</v>
      </c>
      <c r="C99" s="27"/>
      <c r="D99" s="27"/>
      <c r="E99" s="27"/>
      <c r="F99" s="27"/>
      <c r="G99" s="27"/>
      <c r="H99" s="84">
        <v>210099</v>
      </c>
      <c r="I99" s="84">
        <f>H102</f>
        <v>207180</v>
      </c>
      <c r="J99" s="85">
        <f t="shared" ref="J99:K99" si="102">I102</f>
        <v>201635</v>
      </c>
      <c r="K99" s="85">
        <f t="shared" si="102"/>
        <v>192171</v>
      </c>
      <c r="L99" s="84">
        <f>K102</f>
        <v>194181</v>
      </c>
      <c r="M99" s="88">
        <f>L102</f>
        <v>199586</v>
      </c>
      <c r="N99" s="88">
        <f t="shared" ref="N99:V99" si="103">M102</f>
        <v>195891.05992111686</v>
      </c>
      <c r="O99" s="88">
        <f t="shared" si="103"/>
        <v>191937.47403671194</v>
      </c>
      <c r="P99" s="88">
        <f t="shared" si="103"/>
        <v>187726.90506982067</v>
      </c>
      <c r="Q99" s="88">
        <f t="shared" si="103"/>
        <v>183242.64912008148</v>
      </c>
      <c r="R99" s="88">
        <f t="shared" si="103"/>
        <v>178489.33781335794</v>
      </c>
      <c r="S99" s="88">
        <f t="shared" si="103"/>
        <v>173450.82782823098</v>
      </c>
      <c r="T99" s="88">
        <f t="shared" si="103"/>
        <v>168135.19979392205</v>
      </c>
      <c r="U99" s="88">
        <f t="shared" si="103"/>
        <v>162527.21221772613</v>
      </c>
      <c r="V99" s="88">
        <f t="shared" si="103"/>
        <v>156638.82526272041</v>
      </c>
    </row>
    <row r="100" spans="1:22" ht="16" customHeight="1" x14ac:dyDescent="0.2">
      <c r="A100" s="26" t="s">
        <v>181</v>
      </c>
      <c r="B100" s="55" t="s">
        <v>118</v>
      </c>
      <c r="C100" s="27"/>
      <c r="D100" s="27"/>
      <c r="E100" s="27"/>
      <c r="F100" s="27"/>
      <c r="G100" s="27"/>
      <c r="H100" s="84">
        <f>H102-H99-H101</f>
        <v>20282</v>
      </c>
      <c r="I100" s="84">
        <f t="shared" ref="I100:L100" si="104">I102-I99-I101</f>
        <v>16174</v>
      </c>
      <c r="J100" s="84">
        <f t="shared" si="104"/>
        <v>11595</v>
      </c>
      <c r="K100" s="84">
        <f t="shared" si="104"/>
        <v>23200</v>
      </c>
      <c r="L100" s="84">
        <f t="shared" si="104"/>
        <v>28703</v>
      </c>
      <c r="M100" s="88">
        <f>-M93</f>
        <v>27666.509099693947</v>
      </c>
      <c r="N100" s="88">
        <f t="shared" ref="N100:V100" si="105">-N93</f>
        <v>29603.16473667253</v>
      </c>
      <c r="O100" s="88">
        <f t="shared" si="105"/>
        <v>31527.370444556243</v>
      </c>
      <c r="P100" s="88">
        <f t="shared" si="105"/>
        <v>33576.649523452397</v>
      </c>
      <c r="Q100" s="88">
        <f t="shared" si="105"/>
        <v>35591.248494859545</v>
      </c>
      <c r="R100" s="88">
        <f t="shared" si="105"/>
        <v>37726.723404551129</v>
      </c>
      <c r="S100" s="88">
        <f t="shared" si="105"/>
        <v>39801.693191801431</v>
      </c>
      <c r="T100" s="88">
        <f t="shared" si="105"/>
        <v>41990.78631735051</v>
      </c>
      <c r="U100" s="88">
        <f t="shared" si="105"/>
        <v>44090.325633218032</v>
      </c>
      <c r="V100" s="88">
        <f t="shared" si="105"/>
        <v>46294.84191487894</v>
      </c>
    </row>
    <row r="101" spans="1:22" ht="16" customHeight="1" x14ac:dyDescent="0.2">
      <c r="A101" s="26" t="s">
        <v>182</v>
      </c>
      <c r="B101" s="55" t="s">
        <v>118</v>
      </c>
      <c r="C101" s="27"/>
      <c r="D101" s="27"/>
      <c r="E101" s="27"/>
      <c r="F101" s="27"/>
      <c r="G101" s="27"/>
      <c r="H101" s="89">
        <f>-H48</f>
        <v>-23201</v>
      </c>
      <c r="I101" s="89">
        <f t="shared" ref="I101:L101" si="106">-I48</f>
        <v>-21719</v>
      </c>
      <c r="J101" s="89">
        <f t="shared" si="106"/>
        <v>-21059</v>
      </c>
      <c r="K101" s="89">
        <f t="shared" si="106"/>
        <v>-21190</v>
      </c>
      <c r="L101" s="89">
        <f t="shared" si="106"/>
        <v>-23298</v>
      </c>
      <c r="M101" s="90">
        <f>-M96</f>
        <v>-31361.449178577066</v>
      </c>
      <c r="N101" s="90">
        <f t="shared" ref="N101:U101" si="107">-N96</f>
        <v>-33556.750621077466</v>
      </c>
      <c r="O101" s="90">
        <f t="shared" si="107"/>
        <v>-35737.9394114475</v>
      </c>
      <c r="P101" s="90">
        <f t="shared" si="107"/>
        <v>-38060.905473191589</v>
      </c>
      <c r="Q101" s="90">
        <f t="shared" si="107"/>
        <v>-40344.559801583091</v>
      </c>
      <c r="R101" s="90">
        <f t="shared" si="107"/>
        <v>-42765.233389678084</v>
      </c>
      <c r="S101" s="90">
        <f t="shared" si="107"/>
        <v>-45117.321226110369</v>
      </c>
      <c r="T101" s="90">
        <f t="shared" si="107"/>
        <v>-47598.773893546437</v>
      </c>
      <c r="U101" s="90">
        <f t="shared" si="107"/>
        <v>-49978.71258822376</v>
      </c>
      <c r="V101" s="90">
        <f>-V96</f>
        <v>-52477.648217634953</v>
      </c>
    </row>
    <row r="102" spans="1:22" ht="16" customHeight="1" x14ac:dyDescent="0.2">
      <c r="A102" s="26" t="s">
        <v>179</v>
      </c>
      <c r="B102" s="55" t="s">
        <v>118</v>
      </c>
      <c r="C102" s="27"/>
      <c r="D102" s="27"/>
      <c r="E102" s="27"/>
      <c r="F102" s="27"/>
      <c r="G102" s="27"/>
      <c r="H102" s="84">
        <f>H107</f>
        <v>207180</v>
      </c>
      <c r="I102" s="84">
        <f t="shared" ref="I102:L102" si="108">I107</f>
        <v>201635</v>
      </c>
      <c r="J102" s="84">
        <f t="shared" si="108"/>
        <v>192171</v>
      </c>
      <c r="K102" s="84">
        <f t="shared" si="108"/>
        <v>194181</v>
      </c>
      <c r="L102" s="84">
        <f t="shared" si="108"/>
        <v>199586</v>
      </c>
      <c r="M102" s="88">
        <f>SUM(M99:M101)</f>
        <v>195891.05992111686</v>
      </c>
      <c r="N102" s="88">
        <f t="shared" ref="N102:V102" si="109">SUM(N99:N101)</f>
        <v>191937.47403671194</v>
      </c>
      <c r="O102" s="88">
        <f t="shared" si="109"/>
        <v>187726.90506982067</v>
      </c>
      <c r="P102" s="88">
        <f t="shared" si="109"/>
        <v>183242.64912008148</v>
      </c>
      <c r="Q102" s="88">
        <f t="shared" si="109"/>
        <v>178489.33781335794</v>
      </c>
      <c r="R102" s="88">
        <f t="shared" si="109"/>
        <v>173450.82782823098</v>
      </c>
      <c r="S102" s="88">
        <f t="shared" si="109"/>
        <v>168135.19979392205</v>
      </c>
      <c r="T102" s="88">
        <f t="shared" si="109"/>
        <v>162527.21221772613</v>
      </c>
      <c r="U102" s="88">
        <f t="shared" si="109"/>
        <v>156638.82526272041</v>
      </c>
      <c r="V102" s="88">
        <f t="shared" si="109"/>
        <v>150456.01895996439</v>
      </c>
    </row>
    <row r="103" spans="1:22" ht="16" customHeight="1" x14ac:dyDescent="0.2">
      <c r="A103" s="26"/>
      <c r="B103" s="55"/>
      <c r="C103" s="27"/>
      <c r="D103" s="27"/>
      <c r="E103" s="27"/>
      <c r="F103" s="27"/>
      <c r="G103" s="27"/>
      <c r="H103" s="41"/>
      <c r="I103" s="28"/>
      <c r="J103" s="28"/>
      <c r="K103" s="28"/>
      <c r="L103" s="28"/>
      <c r="M103" s="29"/>
      <c r="N103" s="29"/>
      <c r="O103" s="29"/>
      <c r="P103" s="29"/>
      <c r="Q103" s="29"/>
      <c r="R103" s="29"/>
      <c r="S103" s="29"/>
      <c r="T103" s="29"/>
      <c r="U103" s="29"/>
      <c r="V103" s="29"/>
    </row>
    <row r="104" spans="1:22" ht="16" customHeight="1" x14ac:dyDescent="0.2">
      <c r="A104" s="26" t="s">
        <v>183</v>
      </c>
      <c r="B104" s="55" t="s">
        <v>118</v>
      </c>
      <c r="C104" s="27"/>
      <c r="D104" s="27"/>
      <c r="E104" s="27"/>
      <c r="F104" s="27"/>
      <c r="G104" s="27"/>
      <c r="H104" s="76">
        <f>'Balance Sheet- Historic'!C10</f>
        <v>192203</v>
      </c>
      <c r="I104" s="76">
        <f>'Balance Sheet- Historic'!D10</f>
        <v>189008</v>
      </c>
      <c r="J104" s="76">
        <f>'Balance Sheet- Historic'!E10</f>
        <v>183235</v>
      </c>
      <c r="K104" s="76">
        <f>'Balance Sheet- Historic'!F10</f>
        <v>176009</v>
      </c>
      <c r="L104" s="76">
        <f>'Balance Sheet- Historic'!G10</f>
        <v>173512</v>
      </c>
      <c r="M104" s="43">
        <f>M102*AVERAGE($H$104/$H$107,$I$104/$I$107,$J$104/$J$107,$K$104/$K$107,$L$104/$L$107)</f>
        <v>179998.95410149579</v>
      </c>
      <c r="N104" s="43">
        <f t="shared" ref="N104:U104" si="110">N102*AVERAGE($H$104/$H$107,$I$104/$I$107,$J$104/$J$107,$K$104/$K$107,$L$104/$L$107)</f>
        <v>176366.1118246206</v>
      </c>
      <c r="O104" s="43">
        <f t="shared" si="110"/>
        <v>172497.13479974851</v>
      </c>
      <c r="P104" s="43">
        <f t="shared" si="110"/>
        <v>168376.67426825973</v>
      </c>
      <c r="Q104" s="43">
        <f t="shared" si="110"/>
        <v>164008.98610488165</v>
      </c>
      <c r="R104" s="43">
        <f t="shared" si="110"/>
        <v>159379.23665170086</v>
      </c>
      <c r="S104" s="43">
        <f t="shared" si="110"/>
        <v>154494.85097859512</v>
      </c>
      <c r="T104" s="43">
        <f t="shared" si="110"/>
        <v>149341.8240934686</v>
      </c>
      <c r="U104" s="43">
        <f t="shared" si="110"/>
        <v>143931.14586408573</v>
      </c>
      <c r="V104" s="43">
        <f>V102*AVERAGE($H$104/$H$107,$I$104/$I$107,$J$104/$J$107,$K$104/$K$107,$L$104/$L$107)</f>
        <v>138249.93372323373</v>
      </c>
    </row>
    <row r="105" spans="1:22" ht="16" customHeight="1" x14ac:dyDescent="0.2">
      <c r="A105" s="26" t="s">
        <v>184</v>
      </c>
      <c r="B105" s="55" t="s">
        <v>118</v>
      </c>
      <c r="C105" s="27"/>
      <c r="D105" s="27"/>
      <c r="E105" s="27"/>
      <c r="F105" s="27"/>
      <c r="G105" s="27"/>
      <c r="H105" s="81">
        <f>'Balance Sheet- Historic'!C11</f>
        <v>12879</v>
      </c>
      <c r="I105" s="81">
        <f>'Balance Sheet- Historic'!D11</f>
        <v>10989</v>
      </c>
      <c r="J105" s="81">
        <f>'Balance Sheet- Historic'!E11</f>
        <v>7713</v>
      </c>
      <c r="K105" s="81">
        <f>'Balance Sheet- Historic'!F11</f>
        <v>17268</v>
      </c>
      <c r="L105" s="81">
        <f>'Balance Sheet- Historic'!G11</f>
        <v>25337</v>
      </c>
      <c r="M105" s="43">
        <f>M102*AVERAGE($H$105/$H$107,$I$105/$I$107,$J$105/$J$107,$K$105/$K$107,$L$105/$L$107)</f>
        <v>14600.703117727957</v>
      </c>
      <c r="N105" s="43">
        <f t="shared" ref="N105:V105" si="111">N102*AVERAGE($H$105/$H$107,$I$105/$I$107,$J$105/$J$107,$K$105/$K$107,$L$105/$L$107)</f>
        <v>14306.023341265052</v>
      </c>
      <c r="O105" s="43">
        <f t="shared" si="111"/>
        <v>13992.189379332058</v>
      </c>
      <c r="P105" s="43">
        <f t="shared" si="111"/>
        <v>13657.956209873417</v>
      </c>
      <c r="Q105" s="43">
        <f t="shared" si="111"/>
        <v>13303.669050247259</v>
      </c>
      <c r="R105" s="43">
        <f t="shared" si="111"/>
        <v>12928.124661043532</v>
      </c>
      <c r="S105" s="43">
        <f t="shared" si="111"/>
        <v>12531.9253304336</v>
      </c>
      <c r="T105" s="43">
        <f t="shared" si="111"/>
        <v>12113.935036640123</v>
      </c>
      <c r="U105" s="43">
        <f t="shared" si="111"/>
        <v>11675.045228156971</v>
      </c>
      <c r="V105" s="43">
        <f t="shared" si="111"/>
        <v>11214.210929249661</v>
      </c>
    </row>
    <row r="106" spans="1:22" ht="16" customHeight="1" x14ac:dyDescent="0.2">
      <c r="A106" s="26" t="s">
        <v>185</v>
      </c>
      <c r="B106" s="55" t="s">
        <v>118</v>
      </c>
      <c r="C106" s="27"/>
      <c r="D106" s="27"/>
      <c r="E106" s="27"/>
      <c r="F106" s="27"/>
      <c r="G106" s="27"/>
      <c r="H106" s="83">
        <f>'Balance Sheet- Historic'!C12</f>
        <v>2098</v>
      </c>
      <c r="I106" s="83">
        <f>'Balance Sheet- Historic'!D12</f>
        <v>1638</v>
      </c>
      <c r="J106" s="83">
        <f>'Balance Sheet- Historic'!E12</f>
        <v>1223</v>
      </c>
      <c r="K106" s="83">
        <f>'Balance Sheet- Historic'!F12</f>
        <v>904</v>
      </c>
      <c r="L106" s="83">
        <f>'Balance Sheet- Historic'!G12</f>
        <v>737</v>
      </c>
      <c r="M106" s="43">
        <f>M102*AVERAGE($H$106/$H$107,$I$106/$I$107,$J$106/$J$107,$K$106/$K$107,$L$106/$L$107)</f>
        <v>1291.4027018931156</v>
      </c>
      <c r="N106" s="43">
        <f t="shared" ref="N106:V106" si="112">N102*AVERAGE($H$106/$H$107,$I$106/$I$107,$J$106/$J$107,$K$106/$K$107,$L$106/$L$107)</f>
        <v>1265.3388708262819</v>
      </c>
      <c r="O106" s="43">
        <f t="shared" si="112"/>
        <v>1237.5808907401038</v>
      </c>
      <c r="P106" s="43">
        <f t="shared" si="112"/>
        <v>1208.0186419483241</v>
      </c>
      <c r="Q106" s="43">
        <f t="shared" si="112"/>
        <v>1176.6826582290375</v>
      </c>
      <c r="R106" s="43">
        <f t="shared" si="112"/>
        <v>1143.4665154865941</v>
      </c>
      <c r="S106" s="43">
        <f t="shared" si="112"/>
        <v>1108.4234848933161</v>
      </c>
      <c r="T106" s="43">
        <f t="shared" si="112"/>
        <v>1071.4530876174078</v>
      </c>
      <c r="U106" s="43">
        <f t="shared" si="112"/>
        <v>1032.6341704777042</v>
      </c>
      <c r="V106" s="43">
        <f t="shared" si="112"/>
        <v>991.87430748101519</v>
      </c>
    </row>
    <row r="107" spans="1:22" ht="16" customHeight="1" x14ac:dyDescent="0.2">
      <c r="A107" s="26" t="s">
        <v>186</v>
      </c>
      <c r="B107" s="55" t="s">
        <v>118</v>
      </c>
      <c r="C107" s="27"/>
      <c r="D107" s="27"/>
      <c r="E107" s="27"/>
      <c r="F107" s="27"/>
      <c r="G107" s="27"/>
      <c r="H107" s="84">
        <f>SUM(H104:H106)</f>
        <v>207180</v>
      </c>
      <c r="I107" s="84">
        <f t="shared" ref="I107:L107" si="113">SUM(I104:I106)</f>
        <v>201635</v>
      </c>
      <c r="J107" s="84">
        <f t="shared" si="113"/>
        <v>192171</v>
      </c>
      <c r="K107" s="84">
        <f t="shared" si="113"/>
        <v>194181</v>
      </c>
      <c r="L107" s="84">
        <f t="shared" si="113"/>
        <v>199586</v>
      </c>
      <c r="M107" s="43">
        <f>SUM(M104:M106)</f>
        <v>195891.05992111686</v>
      </c>
      <c r="N107" s="43">
        <f t="shared" ref="N107:V107" si="114">SUM(N104:N106)</f>
        <v>191937.47403671194</v>
      </c>
      <c r="O107" s="43">
        <f t="shared" si="114"/>
        <v>187726.90506982067</v>
      </c>
      <c r="P107" s="43">
        <f t="shared" si="114"/>
        <v>183242.64912008148</v>
      </c>
      <c r="Q107" s="43">
        <f t="shared" si="114"/>
        <v>178489.33781335794</v>
      </c>
      <c r="R107" s="43">
        <f t="shared" si="114"/>
        <v>173450.82782823098</v>
      </c>
      <c r="S107" s="43">
        <f t="shared" si="114"/>
        <v>168135.19979392202</v>
      </c>
      <c r="T107" s="43">
        <f t="shared" si="114"/>
        <v>162527.21221772613</v>
      </c>
      <c r="U107" s="43">
        <f t="shared" si="114"/>
        <v>156638.82526272041</v>
      </c>
      <c r="V107" s="43">
        <f t="shared" si="114"/>
        <v>150456.01895996442</v>
      </c>
    </row>
    <row r="108" spans="1:22" x14ac:dyDescent="0.2">
      <c r="A108"/>
      <c r="M108" s="130"/>
    </row>
    <row r="109" spans="1:22" s="321" customFormat="1" ht="20" customHeight="1" x14ac:dyDescent="0.2">
      <c r="A109" s="69" t="s">
        <v>145</v>
      </c>
      <c r="B109" s="36"/>
      <c r="C109" s="37"/>
      <c r="D109" s="37"/>
      <c r="E109" s="37"/>
      <c r="F109" s="37"/>
      <c r="G109" s="37"/>
      <c r="H109" s="37"/>
      <c r="I109" s="37"/>
      <c r="J109" s="37"/>
      <c r="K109" s="37"/>
      <c r="L109" s="37"/>
      <c r="M109" s="37"/>
      <c r="N109" s="37"/>
      <c r="O109" s="37"/>
      <c r="P109" s="37"/>
      <c r="Q109" s="37"/>
      <c r="R109" s="37"/>
      <c r="S109" s="37"/>
      <c r="T109" s="37"/>
      <c r="U109" s="37"/>
      <c r="V109" s="37"/>
    </row>
    <row r="110" spans="1:22" ht="17" customHeight="1" x14ac:dyDescent="0.2">
      <c r="A110" s="68" t="s">
        <v>146</v>
      </c>
      <c r="B110" s="53"/>
      <c r="C110" s="21"/>
      <c r="D110" s="21"/>
      <c r="E110" s="21"/>
      <c r="F110" s="21"/>
      <c r="G110" s="21"/>
      <c r="H110" s="21"/>
      <c r="I110" s="21"/>
      <c r="J110" s="21"/>
      <c r="K110" s="21"/>
      <c r="L110" s="21"/>
      <c r="M110" s="21"/>
      <c r="N110" s="21"/>
      <c r="O110" s="21"/>
      <c r="P110" s="21"/>
      <c r="Q110" s="21"/>
      <c r="R110" s="21"/>
      <c r="S110" s="21"/>
      <c r="T110" s="21"/>
      <c r="U110" s="21"/>
      <c r="V110" s="21"/>
    </row>
    <row r="111" spans="1:22" ht="17" customHeight="1" x14ac:dyDescent="0.2">
      <c r="A111" s="70"/>
      <c r="B111" s="8"/>
      <c r="C111" s="8"/>
      <c r="F111" s="56"/>
      <c r="H111" s="28"/>
      <c r="I111" s="28"/>
      <c r="J111" s="28"/>
      <c r="K111" s="28"/>
      <c r="L111" s="28"/>
      <c r="M111" s="29"/>
      <c r="N111" s="29"/>
      <c r="O111" s="29"/>
      <c r="P111" s="29"/>
      <c r="Q111" s="29"/>
      <c r="R111" s="29"/>
      <c r="S111" s="29"/>
      <c r="T111" s="29"/>
      <c r="U111" s="29"/>
      <c r="V111" s="29"/>
    </row>
    <row r="112" spans="1:22" ht="17" customHeight="1" x14ac:dyDescent="0.2">
      <c r="A112" s="71" t="s">
        <v>37</v>
      </c>
      <c r="B112"/>
      <c r="C112"/>
      <c r="F112" s="56"/>
      <c r="H112" s="35"/>
      <c r="I112" s="35"/>
      <c r="J112" s="35"/>
      <c r="K112" s="35"/>
      <c r="L112" s="35"/>
      <c r="M112" s="29"/>
      <c r="N112" s="29"/>
      <c r="O112" s="29"/>
      <c r="P112" s="29"/>
      <c r="Q112" s="29"/>
      <c r="R112" s="29"/>
      <c r="S112" s="29"/>
      <c r="T112" s="29"/>
      <c r="U112" s="29"/>
      <c r="V112" s="29"/>
    </row>
    <row r="113" spans="1:22" x14ac:dyDescent="0.2">
      <c r="A113" s="26" t="s">
        <v>187</v>
      </c>
      <c r="B113" s="8"/>
      <c r="C113"/>
      <c r="F113" s="56"/>
      <c r="H113" s="35">
        <v>0</v>
      </c>
      <c r="I113" s="35">
        <f>H117</f>
        <v>11541</v>
      </c>
      <c r="J113" s="35">
        <f t="shared" ref="J113:V113" si="115">I117</f>
        <v>0</v>
      </c>
      <c r="K113" s="35">
        <f t="shared" si="115"/>
        <v>0</v>
      </c>
      <c r="L113" s="35">
        <f t="shared" si="115"/>
        <v>7741</v>
      </c>
      <c r="M113" s="35">
        <f t="shared" si="115"/>
        <v>57485</v>
      </c>
      <c r="N113" s="35">
        <f t="shared" si="115"/>
        <v>57485</v>
      </c>
      <c r="O113" s="35">
        <f t="shared" si="115"/>
        <v>57485</v>
      </c>
      <c r="P113" s="35">
        <f t="shared" si="115"/>
        <v>57485</v>
      </c>
      <c r="Q113" s="35">
        <f t="shared" si="115"/>
        <v>57485</v>
      </c>
      <c r="R113" s="35">
        <f t="shared" si="115"/>
        <v>57485</v>
      </c>
      <c r="S113" s="35">
        <f t="shared" si="115"/>
        <v>57485</v>
      </c>
      <c r="T113" s="35">
        <f t="shared" si="115"/>
        <v>57485</v>
      </c>
      <c r="U113" s="35">
        <f t="shared" si="115"/>
        <v>57485</v>
      </c>
      <c r="V113" s="35">
        <f t="shared" si="115"/>
        <v>57485</v>
      </c>
    </row>
    <row r="114" spans="1:22" x14ac:dyDescent="0.2">
      <c r="A114" s="26" t="s">
        <v>188</v>
      </c>
      <c r="B114" s="8"/>
      <c r="C114"/>
      <c r="F114" s="56"/>
      <c r="H114" s="126">
        <f>'Cash flow-Historic'!B52+MAX('Cash flow-Historic'!B55,0)</f>
        <v>25000</v>
      </c>
      <c r="I114" s="126">
        <f>'Cash flow-Historic'!C52+MAX('Cash flow-Historic'!C55,0)</f>
        <v>0</v>
      </c>
      <c r="J114" s="126">
        <f>'Cash flow-Historic'!D52+MAX('Cash flow-Historic'!D55,0)</f>
        <v>0</v>
      </c>
      <c r="K114" s="126">
        <f>'Cash flow-Historic'!E52+MAX('Cash flow-Historic'!E55,0)</f>
        <v>7741</v>
      </c>
      <c r="L114" s="126">
        <f>'Cash flow-Historic'!F52+MAX('Cash flow-Historic'!F55,0)</f>
        <v>49744</v>
      </c>
      <c r="M114" s="29">
        <v>0</v>
      </c>
      <c r="N114" s="29">
        <v>0</v>
      </c>
      <c r="O114" s="29">
        <v>0</v>
      </c>
      <c r="P114" s="29">
        <v>0</v>
      </c>
      <c r="Q114" s="29">
        <v>0</v>
      </c>
      <c r="R114" s="29">
        <v>0</v>
      </c>
      <c r="S114" s="29">
        <v>0</v>
      </c>
      <c r="T114" s="29">
        <v>0</v>
      </c>
      <c r="U114" s="29">
        <v>0</v>
      </c>
      <c r="V114" s="29">
        <v>0</v>
      </c>
    </row>
    <row r="115" spans="1:22" x14ac:dyDescent="0.2">
      <c r="A115" s="26" t="s">
        <v>189</v>
      </c>
      <c r="B115" s="8"/>
      <c r="C115"/>
      <c r="F115" s="56"/>
      <c r="H115" s="35">
        <f>'Cash flow-Historic'!B53+MIN('Cash flow-Historic'!B55,0)</f>
        <v>-23541</v>
      </c>
      <c r="I115" s="35">
        <f>'Cash flow-Historic'!C53+MIN('Cash flow-Historic'!C55,0)</f>
        <v>-25017</v>
      </c>
      <c r="J115" s="35">
        <f>'Cash flow-Historic'!D53+MIN('Cash flow-Historic'!D55,0)</f>
        <v>0</v>
      </c>
      <c r="K115" s="35">
        <f>'Cash flow-Historic'!E53+MIN('Cash flow-Historic'!E55,0)</f>
        <v>0</v>
      </c>
      <c r="L115" s="35">
        <f>'Cash flow-Historic'!F53+MIN('Cash flow-Historic'!F55,0)</f>
        <v>0</v>
      </c>
      <c r="M115" s="29">
        <v>0</v>
      </c>
      <c r="N115" s="29">
        <v>0</v>
      </c>
      <c r="O115" s="29">
        <v>0</v>
      </c>
      <c r="P115" s="29">
        <v>0</v>
      </c>
      <c r="Q115" s="29">
        <v>0</v>
      </c>
      <c r="R115" s="29">
        <v>0</v>
      </c>
      <c r="S115" s="29">
        <v>0</v>
      </c>
      <c r="T115" s="29">
        <v>0</v>
      </c>
      <c r="U115" s="29">
        <v>0</v>
      </c>
      <c r="V115" s="29">
        <v>0</v>
      </c>
    </row>
    <row r="116" spans="1:22" x14ac:dyDescent="0.2">
      <c r="A116" s="26" t="s">
        <v>196</v>
      </c>
      <c r="B116" s="8"/>
      <c r="H116" s="126">
        <f>H117-H113-H114-H115</f>
        <v>10082</v>
      </c>
      <c r="I116" s="126">
        <f t="shared" ref="I116:L116" si="116">I117-I113-I114-I115</f>
        <v>13476</v>
      </c>
      <c r="J116" s="126">
        <f t="shared" si="116"/>
        <v>0</v>
      </c>
      <c r="K116" s="126">
        <f t="shared" si="116"/>
        <v>0</v>
      </c>
      <c r="L116" s="126">
        <f t="shared" si="116"/>
        <v>0</v>
      </c>
      <c r="M116" s="29">
        <v>0</v>
      </c>
      <c r="N116" s="29">
        <v>0</v>
      </c>
      <c r="O116" s="29">
        <v>0</v>
      </c>
      <c r="P116" s="29">
        <v>0</v>
      </c>
      <c r="Q116" s="29">
        <v>0</v>
      </c>
      <c r="R116" s="29">
        <v>0</v>
      </c>
      <c r="S116" s="29">
        <v>0</v>
      </c>
      <c r="T116" s="29">
        <v>0</v>
      </c>
      <c r="U116" s="29">
        <v>0</v>
      </c>
      <c r="V116" s="29">
        <v>0</v>
      </c>
    </row>
    <row r="117" spans="1:22" x14ac:dyDescent="0.2">
      <c r="A117" s="26" t="s">
        <v>190</v>
      </c>
      <c r="B117" s="8"/>
      <c r="C117"/>
      <c r="H117" s="126">
        <f>'Balance Sheet- Historic'!C44+'Balance Sheet- Historic'!C37</f>
        <v>11541</v>
      </c>
      <c r="I117" s="126">
        <f>'Balance Sheet- Historic'!D44+'Balance Sheet- Historic'!D37</f>
        <v>0</v>
      </c>
      <c r="J117" s="126">
        <f>'Balance Sheet- Historic'!E44+'Balance Sheet- Historic'!E37</f>
        <v>0</v>
      </c>
      <c r="K117" s="126">
        <f>'Balance Sheet- Historic'!F44+'Balance Sheet- Historic'!F37</f>
        <v>7741</v>
      </c>
      <c r="L117" s="126">
        <f>'Balance Sheet- Historic'!G44+'Balance Sheet- Historic'!G37</f>
        <v>57485</v>
      </c>
      <c r="M117" s="29">
        <f>SUM(M113:M116)</f>
        <v>57485</v>
      </c>
      <c r="N117" s="29">
        <f t="shared" ref="N117:V117" si="117">SUM(N113:N116)</f>
        <v>57485</v>
      </c>
      <c r="O117" s="29">
        <f t="shared" si="117"/>
        <v>57485</v>
      </c>
      <c r="P117" s="29">
        <f t="shared" si="117"/>
        <v>57485</v>
      </c>
      <c r="Q117" s="29">
        <f t="shared" si="117"/>
        <v>57485</v>
      </c>
      <c r="R117" s="29">
        <f t="shared" si="117"/>
        <v>57485</v>
      </c>
      <c r="S117" s="29">
        <f t="shared" si="117"/>
        <v>57485</v>
      </c>
      <c r="T117" s="29">
        <f t="shared" si="117"/>
        <v>57485</v>
      </c>
      <c r="U117" s="29">
        <f t="shared" si="117"/>
        <v>57485</v>
      </c>
      <c r="V117" s="29">
        <f t="shared" si="117"/>
        <v>57485</v>
      </c>
    </row>
    <row r="118" spans="1:22" x14ac:dyDescent="0.2">
      <c r="B118" s="8"/>
      <c r="C118"/>
    </row>
    <row r="119" spans="1:22" x14ac:dyDescent="0.2">
      <c r="A119" s="71" t="s">
        <v>38</v>
      </c>
      <c r="B119" s="8"/>
      <c r="C119"/>
    </row>
    <row r="120" spans="1:22" x14ac:dyDescent="0.2">
      <c r="A120" s="26" t="s">
        <v>191</v>
      </c>
      <c r="B120" s="8"/>
      <c r="C120"/>
      <c r="H120" s="76">
        <v>0</v>
      </c>
      <c r="I120" s="76">
        <f>H124</f>
        <v>0</v>
      </c>
      <c r="J120" s="76">
        <f>I124</f>
        <v>974</v>
      </c>
      <c r="K120" s="76">
        <f>J124</f>
        <v>1562</v>
      </c>
      <c r="L120" s="76">
        <f>K124</f>
        <v>2462</v>
      </c>
      <c r="M120" s="43">
        <f>L124</f>
        <v>4513</v>
      </c>
      <c r="N120" s="43">
        <f t="shared" ref="N120:V120" si="118">M124</f>
        <v>5415.5999999999995</v>
      </c>
      <c r="O120" s="43">
        <f t="shared" si="118"/>
        <v>6498.7199999999993</v>
      </c>
      <c r="P120" s="43">
        <f t="shared" si="118"/>
        <v>7603.6639999999998</v>
      </c>
      <c r="Q120" s="43">
        <f t="shared" si="118"/>
        <v>8811.996799999999</v>
      </c>
      <c r="R120" s="43">
        <f t="shared" si="118"/>
        <v>10081.996159999999</v>
      </c>
      <c r="S120" s="43">
        <f t="shared" si="118"/>
        <v>11195.795391999998</v>
      </c>
      <c r="T120" s="43">
        <f t="shared" si="118"/>
        <v>12351.834470399999</v>
      </c>
      <c r="U120" s="43">
        <f t="shared" si="118"/>
        <v>13522.45736448</v>
      </c>
      <c r="V120" s="43">
        <f t="shared" si="118"/>
        <v>14706.216037376</v>
      </c>
    </row>
    <row r="121" spans="1:22" x14ac:dyDescent="0.2">
      <c r="A121" s="26" t="s">
        <v>192</v>
      </c>
      <c r="B121" s="8"/>
      <c r="C121"/>
      <c r="H121" s="76">
        <f>H124-H120-H122-H123</f>
        <v>853</v>
      </c>
      <c r="I121" s="76">
        <f t="shared" ref="I121:L121" si="119">I124-I120-I122-I123</f>
        <v>1466</v>
      </c>
      <c r="J121" s="76">
        <f t="shared" si="119"/>
        <v>1586</v>
      </c>
      <c r="K121" s="76">
        <f t="shared" si="119"/>
        <v>1627</v>
      </c>
      <c r="L121" s="76">
        <f t="shared" si="119"/>
        <v>3004</v>
      </c>
      <c r="M121" s="43">
        <f>AVERAGE(H121:L121)</f>
        <v>1707.2</v>
      </c>
      <c r="N121" s="43">
        <f t="shared" ref="N121:V121" si="120">AVERAGE(I121:M121)</f>
        <v>1878.0400000000002</v>
      </c>
      <c r="O121" s="43">
        <f t="shared" si="120"/>
        <v>1960.4479999999999</v>
      </c>
      <c r="P121" s="43">
        <f t="shared" si="120"/>
        <v>2035.3376000000001</v>
      </c>
      <c r="Q121" s="43">
        <f t="shared" si="120"/>
        <v>2117.0051200000003</v>
      </c>
      <c r="R121" s="43">
        <f t="shared" si="120"/>
        <v>1939.6061440000001</v>
      </c>
      <c r="S121" s="43">
        <f t="shared" si="120"/>
        <v>1986.0873727999999</v>
      </c>
      <c r="T121" s="43">
        <f t="shared" si="120"/>
        <v>2007.6968473600002</v>
      </c>
      <c r="U121" s="43">
        <f t="shared" si="120"/>
        <v>2017.1466168320003</v>
      </c>
      <c r="V121" s="43">
        <f t="shared" si="120"/>
        <v>2013.5084201983998</v>
      </c>
    </row>
    <row r="122" spans="1:22" x14ac:dyDescent="0.2">
      <c r="A122" s="26" t="s">
        <v>193</v>
      </c>
      <c r="B122" s="8"/>
      <c r="C122"/>
      <c r="H122" s="78">
        <f>'Cash flow-Historic'!B54</f>
        <v>-853</v>
      </c>
      <c r="I122" s="78">
        <f>'Cash flow-Historic'!C54</f>
        <v>-492</v>
      </c>
      <c r="J122" s="78">
        <f>'Cash flow-Historic'!D54</f>
        <v>-998</v>
      </c>
      <c r="K122" s="78">
        <f>'Cash flow-Historic'!E54</f>
        <v>-727</v>
      </c>
      <c r="L122" s="78">
        <f>'Cash flow-Historic'!F54</f>
        <v>-953</v>
      </c>
      <c r="M122" s="129">
        <f>AVERAGE(H122:L122)</f>
        <v>-804.6</v>
      </c>
      <c r="N122" s="129">
        <f t="shared" ref="N122:V122" si="121">AVERAGE(I122:M122)</f>
        <v>-794.92</v>
      </c>
      <c r="O122" s="129">
        <f t="shared" si="121"/>
        <v>-855.50399999999991</v>
      </c>
      <c r="P122" s="129">
        <f t="shared" si="121"/>
        <v>-827.00479999999993</v>
      </c>
      <c r="Q122" s="129">
        <f t="shared" si="121"/>
        <v>-847.00576000000001</v>
      </c>
      <c r="R122" s="129">
        <f t="shared" si="121"/>
        <v>-825.80691200000001</v>
      </c>
      <c r="S122" s="129">
        <f t="shared" si="121"/>
        <v>-830.04829439999992</v>
      </c>
      <c r="T122" s="129">
        <f t="shared" si="121"/>
        <v>-837.07395327999984</v>
      </c>
      <c r="U122" s="129">
        <f t="shared" si="121"/>
        <v>-833.38794393600006</v>
      </c>
      <c r="V122" s="129">
        <f t="shared" si="121"/>
        <v>-834.66457272320008</v>
      </c>
    </row>
    <row r="123" spans="1:22" x14ac:dyDescent="0.2">
      <c r="A123" s="26" t="s">
        <v>196</v>
      </c>
      <c r="B123" s="8"/>
      <c r="H123" s="76">
        <v>0</v>
      </c>
      <c r="I123" s="76">
        <v>0</v>
      </c>
      <c r="J123" s="76">
        <v>0</v>
      </c>
      <c r="K123" s="76">
        <v>0</v>
      </c>
      <c r="L123" s="76">
        <v>0</v>
      </c>
      <c r="M123" s="43">
        <v>0</v>
      </c>
      <c r="N123" s="43">
        <v>0</v>
      </c>
      <c r="O123" s="43">
        <v>0</v>
      </c>
      <c r="P123" s="43">
        <v>0</v>
      </c>
      <c r="Q123" s="43">
        <v>0</v>
      </c>
      <c r="R123" s="43">
        <v>0</v>
      </c>
      <c r="S123" s="43">
        <v>0</v>
      </c>
      <c r="T123" s="43">
        <v>0</v>
      </c>
      <c r="U123" s="43">
        <v>0</v>
      </c>
      <c r="V123" s="43">
        <v>0</v>
      </c>
    </row>
    <row r="124" spans="1:22" x14ac:dyDescent="0.2">
      <c r="A124" s="26" t="s">
        <v>194</v>
      </c>
      <c r="B124" s="8"/>
      <c r="C124"/>
      <c r="H124" s="76">
        <f>SUM('Balance Sheet- Historic'!C45,'Balance Sheet- Historic'!C38)</f>
        <v>0</v>
      </c>
      <c r="I124" s="76">
        <f>SUM('Balance Sheet- Historic'!D45,'Balance Sheet- Historic'!D38)</f>
        <v>974</v>
      </c>
      <c r="J124" s="76">
        <f>SUM('Balance Sheet- Historic'!E45,'Balance Sheet- Historic'!E38)</f>
        <v>1562</v>
      </c>
      <c r="K124" s="76">
        <f>SUM('Balance Sheet- Historic'!F45,'Balance Sheet- Historic'!F38)</f>
        <v>2462</v>
      </c>
      <c r="L124" s="76">
        <f>SUM('Balance Sheet- Historic'!G45,'Balance Sheet- Historic'!G38)</f>
        <v>4513</v>
      </c>
      <c r="M124" s="43">
        <f>SUM(M120:M123)</f>
        <v>5415.5999999999995</v>
      </c>
      <c r="N124" s="43">
        <f t="shared" ref="N124:V124" si="122">SUM(N120:N123)</f>
        <v>6498.7199999999993</v>
      </c>
      <c r="O124" s="43">
        <f t="shared" si="122"/>
        <v>7603.6639999999998</v>
      </c>
      <c r="P124" s="43">
        <f t="shared" si="122"/>
        <v>8811.996799999999</v>
      </c>
      <c r="Q124" s="43">
        <f t="shared" si="122"/>
        <v>10081.996159999999</v>
      </c>
      <c r="R124" s="43">
        <f t="shared" si="122"/>
        <v>11195.795391999998</v>
      </c>
      <c r="S124" s="43">
        <f t="shared" si="122"/>
        <v>12351.834470399999</v>
      </c>
      <c r="T124" s="43">
        <f t="shared" si="122"/>
        <v>13522.45736448</v>
      </c>
      <c r="U124" s="43">
        <f t="shared" si="122"/>
        <v>14706.216037376</v>
      </c>
      <c r="V124" s="43">
        <f t="shared" si="122"/>
        <v>15885.0598848512</v>
      </c>
    </row>
    <row r="125" spans="1:22" x14ac:dyDescent="0.2">
      <c r="C125"/>
    </row>
    <row r="126" spans="1:22" x14ac:dyDescent="0.2">
      <c r="A126" s="70" t="s">
        <v>195</v>
      </c>
      <c r="H126" s="76">
        <f>SUM(H124,H117)</f>
        <v>11541</v>
      </c>
      <c r="I126" s="76">
        <f t="shared" ref="I126:V126" si="123">SUM(I124,I117)</f>
        <v>974</v>
      </c>
      <c r="J126" s="76">
        <f t="shared" si="123"/>
        <v>1562</v>
      </c>
      <c r="K126" s="76">
        <f t="shared" si="123"/>
        <v>10203</v>
      </c>
      <c r="L126" s="76">
        <f t="shared" si="123"/>
        <v>61998</v>
      </c>
      <c r="M126" s="130">
        <f t="shared" si="123"/>
        <v>62900.6</v>
      </c>
      <c r="N126" s="130">
        <f t="shared" si="123"/>
        <v>63983.72</v>
      </c>
      <c r="O126" s="130">
        <f t="shared" si="123"/>
        <v>65088.663999999997</v>
      </c>
      <c r="P126" s="130">
        <f t="shared" si="123"/>
        <v>66296.996799999994</v>
      </c>
      <c r="Q126" s="130">
        <f t="shared" si="123"/>
        <v>67566.996159999995</v>
      </c>
      <c r="R126" s="130">
        <f t="shared" si="123"/>
        <v>68680.795392</v>
      </c>
      <c r="S126" s="130">
        <f t="shared" si="123"/>
        <v>69836.834470400005</v>
      </c>
      <c r="T126" s="130">
        <f t="shared" si="123"/>
        <v>71007.457364479997</v>
      </c>
      <c r="U126" s="130">
        <f t="shared" si="123"/>
        <v>72191.216037375998</v>
      </c>
      <c r="V126" s="130">
        <f t="shared" si="123"/>
        <v>73370.059884851202</v>
      </c>
    </row>
    <row r="128" spans="1:22" s="321" customFormat="1" ht="20" customHeight="1" x14ac:dyDescent="0.2">
      <c r="A128" s="69" t="s">
        <v>309</v>
      </c>
      <c r="B128" s="36"/>
      <c r="C128" s="37"/>
      <c r="D128" s="37"/>
      <c r="E128" s="37"/>
      <c r="F128" s="37"/>
      <c r="G128" s="37"/>
      <c r="H128" s="37"/>
      <c r="I128" s="37"/>
      <c r="J128" s="37"/>
      <c r="K128" s="37"/>
      <c r="L128" s="37"/>
      <c r="M128" s="37"/>
      <c r="N128" s="37"/>
      <c r="O128" s="37"/>
      <c r="P128" s="37"/>
      <c r="Q128" s="37"/>
      <c r="R128" s="37"/>
      <c r="S128" s="37"/>
      <c r="T128" s="37"/>
      <c r="U128" s="37"/>
      <c r="V128" s="37"/>
    </row>
    <row r="129" spans="1:22" x14ac:dyDescent="0.2">
      <c r="A129" s="26" t="s">
        <v>306</v>
      </c>
      <c r="H129" s="76">
        <f>'Cash flow-Historic'!B62</f>
        <v>2899</v>
      </c>
      <c r="I129" s="76">
        <f>'Cash flow-Historic'!C62</f>
        <v>40970</v>
      </c>
      <c r="J129" s="76">
        <f>'Cash flow-Historic'!D62</f>
        <v>86260</v>
      </c>
      <c r="K129" s="76">
        <f>'Cash flow-Historic'!E62</f>
        <v>32986</v>
      </c>
      <c r="L129" s="76">
        <f>'Cash flow-Historic'!F62</f>
        <v>12915</v>
      </c>
      <c r="M129" s="155">
        <f t="shared" ref="M129:V129" si="124">L154</f>
        <v>34192</v>
      </c>
      <c r="N129" s="155">
        <f t="shared" si="124"/>
        <v>61133.118861259456</v>
      </c>
      <c r="O129" s="155">
        <f t="shared" si="124"/>
        <v>69306.31359131803</v>
      </c>
      <c r="P129" s="155">
        <f t="shared" si="124"/>
        <v>93794.650816916954</v>
      </c>
      <c r="Q129" s="155">
        <f t="shared" si="124"/>
        <v>131703.50115284516</v>
      </c>
      <c r="R129" s="155">
        <f t="shared" si="124"/>
        <v>184905.32349633172</v>
      </c>
      <c r="S129" s="155">
        <f t="shared" si="124"/>
        <v>252426.40093994667</v>
      </c>
      <c r="T129" s="155">
        <f t="shared" si="124"/>
        <v>341863.57157785626</v>
      </c>
      <c r="U129" s="155">
        <f t="shared" si="124"/>
        <v>442676.8606624353</v>
      </c>
      <c r="V129" s="155">
        <f t="shared" si="124"/>
        <v>560953.05994399707</v>
      </c>
    </row>
    <row r="130" spans="1:22" x14ac:dyDescent="0.2">
      <c r="A130" s="26" t="s">
        <v>327</v>
      </c>
      <c r="H130" s="76">
        <f>FS!D72</f>
        <v>16941</v>
      </c>
      <c r="I130" s="76">
        <f>FS!E72</f>
        <v>49444</v>
      </c>
      <c r="J130" s="76">
        <f>FS!F72</f>
        <v>41731</v>
      </c>
      <c r="K130" s="76">
        <f>FS!G72</f>
        <v>55114</v>
      </c>
      <c r="L130" s="76">
        <f>FS!H72</f>
        <v>60511</v>
      </c>
      <c r="M130" s="155">
        <f>FS!I72</f>
        <v>53807.143977773609</v>
      </c>
      <c r="N130" s="155">
        <f>FS!J72</f>
        <v>67846.897558017168</v>
      </c>
      <c r="O130" s="155">
        <f>FS!K72</f>
        <v>115169.62746058404</v>
      </c>
      <c r="P130" s="155">
        <f>FS!L72</f>
        <v>161334.63508261507</v>
      </c>
      <c r="Q130" s="155">
        <f>FS!M72</f>
        <v>210914.49244969478</v>
      </c>
      <c r="R130" s="155">
        <f>FS!N72</f>
        <v>264738.10305734025</v>
      </c>
      <c r="S130" s="155">
        <f>FS!O72</f>
        <v>305906.53541184263</v>
      </c>
      <c r="T130" s="155">
        <f>FS!P72</f>
        <v>350298.0391902416</v>
      </c>
      <c r="U130" s="155">
        <f>FS!Q72</f>
        <v>396240.4148873766</v>
      </c>
      <c r="V130" s="155">
        <f>FS!R72</f>
        <v>445370.52255649539</v>
      </c>
    </row>
    <row r="131" spans="1:22" ht="15" customHeight="1" x14ac:dyDescent="0.2">
      <c r="A131" s="26" t="s">
        <v>133</v>
      </c>
      <c r="H131" s="76">
        <f t="shared" ref="H131:V131" si="125">H48</f>
        <v>23201</v>
      </c>
      <c r="I131" s="76">
        <f t="shared" si="125"/>
        <v>21719</v>
      </c>
      <c r="J131" s="76">
        <f t="shared" si="125"/>
        <v>21059</v>
      </c>
      <c r="K131" s="76">
        <f t="shared" si="125"/>
        <v>21190</v>
      </c>
      <c r="L131" s="76">
        <f t="shared" si="125"/>
        <v>23298</v>
      </c>
      <c r="M131" s="155">
        <f t="shared" si="125"/>
        <v>31361.449178577066</v>
      </c>
      <c r="N131" s="155">
        <f t="shared" si="125"/>
        <v>33556.750621077466</v>
      </c>
      <c r="O131" s="155">
        <f t="shared" si="125"/>
        <v>35737.9394114475</v>
      </c>
      <c r="P131" s="155">
        <f t="shared" si="125"/>
        <v>38060.905473191589</v>
      </c>
      <c r="Q131" s="155">
        <f t="shared" si="125"/>
        <v>40344.559801583091</v>
      </c>
      <c r="R131" s="155">
        <f t="shared" si="125"/>
        <v>42765.233389678084</v>
      </c>
      <c r="S131" s="155">
        <f t="shared" si="125"/>
        <v>45117.321226110369</v>
      </c>
      <c r="T131" s="155">
        <f t="shared" si="125"/>
        <v>47598.773893546437</v>
      </c>
      <c r="U131" s="155">
        <f t="shared" si="125"/>
        <v>49978.71258822376</v>
      </c>
      <c r="V131" s="155">
        <f t="shared" si="125"/>
        <v>52477.648217634953</v>
      </c>
    </row>
    <row r="132" spans="1:22" ht="15" customHeight="1" x14ac:dyDescent="0.2">
      <c r="A132" s="26" t="s">
        <v>328</v>
      </c>
      <c r="B132" s="53"/>
      <c r="C132" s="177"/>
      <c r="D132" s="177"/>
      <c r="E132" s="21"/>
      <c r="F132" s="21"/>
      <c r="G132" s="21"/>
      <c r="H132" s="158">
        <f>H135-H130-H131-H133-H134</f>
        <v>30114</v>
      </c>
      <c r="I132" s="158">
        <f t="shared" ref="I132:L132" si="126">I135-I130-I131-I133-I134</f>
        <v>67898</v>
      </c>
      <c r="J132" s="158">
        <f t="shared" si="126"/>
        <v>-117321</v>
      </c>
      <c r="K132" s="158">
        <f t="shared" si="126"/>
        <v>-117076</v>
      </c>
      <c r="L132" s="158">
        <f t="shared" si="126"/>
        <v>-100450</v>
      </c>
      <c r="M132" s="155">
        <v>23345</v>
      </c>
      <c r="N132" s="155">
        <v>-38216</v>
      </c>
      <c r="O132" s="155">
        <v>-34306</v>
      </c>
      <c r="P132" s="155">
        <v>-40405</v>
      </c>
      <c r="Q132" s="155">
        <v>-40284</v>
      </c>
      <c r="R132" s="155">
        <v>-45308</v>
      </c>
      <c r="S132" s="155">
        <v>-38544</v>
      </c>
      <c r="T132" s="155">
        <v>-45882</v>
      </c>
      <c r="U132" s="155">
        <v>-41836</v>
      </c>
      <c r="V132" s="155">
        <v>-44507</v>
      </c>
    </row>
    <row r="133" spans="1:22" x14ac:dyDescent="0.2">
      <c r="A133" s="26" t="s">
        <v>329</v>
      </c>
      <c r="H133" s="76">
        <f t="shared" ref="H133:V133" si="127">H89</f>
        <v>0</v>
      </c>
      <c r="I133" s="76">
        <f t="shared" si="127"/>
        <v>-36092</v>
      </c>
      <c r="J133" s="76">
        <f t="shared" si="127"/>
        <v>56548</v>
      </c>
      <c r="K133" s="76">
        <f t="shared" si="127"/>
        <v>61598</v>
      </c>
      <c r="L133" s="76">
        <f t="shared" si="127"/>
        <v>59338</v>
      </c>
      <c r="M133" s="155">
        <f t="shared" si="127"/>
        <v>-17222.761591017828</v>
      </c>
      <c r="N133" s="155">
        <f t="shared" si="127"/>
        <v>20623.94257932232</v>
      </c>
      <c r="O133" s="155">
        <f t="shared" si="127"/>
        <v>17064.752388841065</v>
      </c>
      <c r="P133" s="155">
        <f t="shared" si="127"/>
        <v>20899.898776661663</v>
      </c>
      <c r="Q133" s="155">
        <f t="shared" si="127"/>
        <v>19302.807912524731</v>
      </c>
      <c r="R133" s="155">
        <f t="shared" si="127"/>
        <v>20405.638431782252</v>
      </c>
      <c r="S133" s="155">
        <f t="shared" si="127"/>
        <v>21567.533298774681</v>
      </c>
      <c r="T133" s="155">
        <f t="shared" si="127"/>
        <v>25205.068803474598</v>
      </c>
      <c r="U133" s="155">
        <f t="shared" si="127"/>
        <v>23029.894030018244</v>
      </c>
      <c r="V133" s="155">
        <f t="shared" si="127"/>
        <v>24181.388731519051</v>
      </c>
    </row>
    <row r="134" spans="1:22" x14ac:dyDescent="0.2">
      <c r="A134" s="26" t="s">
        <v>330</v>
      </c>
      <c r="H134" s="76">
        <f>'Cash flow-Historic'!B38</f>
        <v>-8228</v>
      </c>
      <c r="I134" s="76">
        <f>'Cash flow-Historic'!C38</f>
        <v>-13007</v>
      </c>
      <c r="J134" s="76">
        <f>'Cash flow-Historic'!D38</f>
        <v>-13974</v>
      </c>
      <c r="K134" s="76">
        <f>'Cash flow-Historic'!E38</f>
        <v>-13876</v>
      </c>
      <c r="L134" s="76">
        <f>'Cash flow-Historic'!F38</f>
        <v>-19192</v>
      </c>
      <c r="M134" s="155">
        <f>-M130*Assumptions!$C$107</f>
        <v>-16142.143193332082</v>
      </c>
      <c r="N134" s="155">
        <f>-N130*Assumptions!$C$107</f>
        <v>-20354.06926740515</v>
      </c>
      <c r="O134" s="155">
        <f>-O130*Assumptions!$C$107</f>
        <v>-34550.888238175212</v>
      </c>
      <c r="P134" s="155">
        <f>-P130*Assumptions!$C$107</f>
        <v>-48400.390524784518</v>
      </c>
      <c r="Q134" s="155">
        <f>-Q130*Assumptions!$C$107</f>
        <v>-63274.347734908428</v>
      </c>
      <c r="R134" s="155">
        <f>-R130*Assumptions!$C$107</f>
        <v>-79421.430917202073</v>
      </c>
      <c r="S134" s="155">
        <f>-S130*Assumptions!$C$107</f>
        <v>-91771.96062355279</v>
      </c>
      <c r="T134" s="155">
        <f>-T130*Assumptions!$C$107</f>
        <v>-105089.41175707248</v>
      </c>
      <c r="U134" s="155">
        <f>-U130*Assumptions!$C$107</f>
        <v>-118872.12446621298</v>
      </c>
      <c r="V134" s="155">
        <f>-V130*Assumptions!$C$107</f>
        <v>-133611.15676694861</v>
      </c>
    </row>
    <row r="135" spans="1:22" x14ac:dyDescent="0.2">
      <c r="A135" s="26" t="s">
        <v>310</v>
      </c>
      <c r="H135" s="76">
        <f>'Cash flow-Historic'!B39</f>
        <v>62028</v>
      </c>
      <c r="I135" s="76">
        <f>'Cash flow-Historic'!C39</f>
        <v>89962</v>
      </c>
      <c r="J135" s="76">
        <f>'Cash flow-Historic'!D39</f>
        <v>-11957</v>
      </c>
      <c r="K135" s="76">
        <f>'Cash flow-Historic'!E39</f>
        <v>6950</v>
      </c>
      <c r="L135" s="76">
        <f>'Cash flow-Historic'!F39</f>
        <v>23505</v>
      </c>
      <c r="M135" s="155">
        <f>SUM(M130:M134)</f>
        <v>75148.688372000761</v>
      </c>
      <c r="N135" s="155">
        <f t="shared" ref="N135:V135" si="128">SUM(N130:N134)</f>
        <v>63457.521491011794</v>
      </c>
      <c r="O135" s="155">
        <f t="shared" si="128"/>
        <v>99115.43102269739</v>
      </c>
      <c r="P135" s="155">
        <f t="shared" si="128"/>
        <v>131490.04880768381</v>
      </c>
      <c r="Q135" s="155">
        <f t="shared" si="128"/>
        <v>167003.51242889417</v>
      </c>
      <c r="R135" s="155">
        <f t="shared" si="128"/>
        <v>203179.54396159848</v>
      </c>
      <c r="S135" s="155">
        <f t="shared" si="128"/>
        <v>242275.42931317491</v>
      </c>
      <c r="T135" s="155">
        <f t="shared" si="128"/>
        <v>272130.47013019014</v>
      </c>
      <c r="U135" s="155">
        <f t="shared" si="128"/>
        <v>308540.89703940559</v>
      </c>
      <c r="V135" s="155">
        <f t="shared" si="128"/>
        <v>343911.40273870074</v>
      </c>
    </row>
    <row r="137" spans="1:22" ht="15" customHeight="1" x14ac:dyDescent="0.2">
      <c r="A137" s="19" t="s">
        <v>240</v>
      </c>
      <c r="H137" s="76">
        <f>'Cash flow-Historic'!B24</f>
        <v>4446</v>
      </c>
      <c r="I137" s="76">
        <f>'Cash flow-Historic'!C24</f>
        <v>0</v>
      </c>
      <c r="J137" s="76">
        <f>'Cash flow-Historic'!D24</f>
        <v>3312</v>
      </c>
      <c r="K137" s="76">
        <f>'Cash flow-Historic'!E24</f>
        <v>0</v>
      </c>
      <c r="L137" s="76">
        <f>'Cash flow-Historic'!F24</f>
        <v>0</v>
      </c>
      <c r="M137" s="155"/>
      <c r="N137" s="155"/>
      <c r="O137" s="155"/>
      <c r="P137" s="155"/>
      <c r="Q137" s="155"/>
      <c r="R137" s="155"/>
      <c r="S137" s="155"/>
      <c r="T137" s="155"/>
      <c r="U137" s="155"/>
      <c r="V137" s="155"/>
    </row>
    <row r="138" spans="1:22" x14ac:dyDescent="0.2">
      <c r="A138" s="19" t="s">
        <v>331</v>
      </c>
      <c r="H138" s="76">
        <f>'Cash flow-Historic'!B25</f>
        <v>1776</v>
      </c>
      <c r="I138" s="76">
        <f>'Cash flow-Historic'!C25</f>
        <v>0</v>
      </c>
      <c r="J138" s="76">
        <f>'Cash flow-Historic'!D25</f>
        <v>0</v>
      </c>
      <c r="K138" s="76">
        <f>'Cash flow-Historic'!E25</f>
        <v>0</v>
      </c>
      <c r="L138" s="76">
        <f>'Cash flow-Historic'!F25</f>
        <v>0</v>
      </c>
      <c r="M138" s="155"/>
      <c r="N138" s="155"/>
      <c r="O138" s="155"/>
      <c r="P138" s="155"/>
      <c r="Q138" s="155"/>
      <c r="R138" s="155"/>
      <c r="S138" s="155"/>
      <c r="T138" s="155"/>
      <c r="U138" s="155"/>
      <c r="V138" s="155"/>
    </row>
    <row r="139" spans="1:22" x14ac:dyDescent="0.2">
      <c r="A139" s="19" t="s">
        <v>332</v>
      </c>
      <c r="H139" s="76">
        <f>'Cash flow-Historic'!B26</f>
        <v>-5500</v>
      </c>
      <c r="I139" s="76">
        <f>'Cash flow-Historic'!C26</f>
        <v>0</v>
      </c>
      <c r="J139" s="76">
        <f>'Cash flow-Historic'!D26</f>
        <v>0</v>
      </c>
      <c r="K139" s="76">
        <f>'Cash flow-Historic'!E26</f>
        <v>0</v>
      </c>
      <c r="L139" s="76">
        <f>'Cash flow-Historic'!F26</f>
        <v>0</v>
      </c>
      <c r="M139" s="155"/>
      <c r="N139" s="155"/>
      <c r="O139" s="155"/>
      <c r="P139" s="155"/>
      <c r="Q139" s="155"/>
      <c r="R139" s="155"/>
      <c r="S139" s="155"/>
      <c r="T139" s="155"/>
      <c r="U139" s="155"/>
      <c r="V139" s="155"/>
    </row>
    <row r="140" spans="1:22" x14ac:dyDescent="0.2">
      <c r="A140" s="26" t="s">
        <v>243</v>
      </c>
      <c r="H140" s="76">
        <f>'Cash flow-Historic'!B27</f>
        <v>2244</v>
      </c>
      <c r="I140" s="76">
        <f>'Cash flow-Historic'!C27</f>
        <v>1464</v>
      </c>
      <c r="J140" s="76">
        <f>'Cash flow-Historic'!D27</f>
        <v>443</v>
      </c>
      <c r="K140" s="76">
        <f>'Cash flow-Historic'!E27</f>
        <v>670</v>
      </c>
      <c r="L140" s="76">
        <f>'Cash flow-Historic'!F27</f>
        <v>1208</v>
      </c>
      <c r="M140" s="155"/>
      <c r="N140" s="155"/>
      <c r="O140" s="155"/>
      <c r="P140" s="155"/>
      <c r="Q140" s="155"/>
      <c r="R140" s="155"/>
      <c r="S140" s="155"/>
      <c r="T140" s="155"/>
      <c r="U140" s="155"/>
      <c r="V140" s="155"/>
    </row>
    <row r="141" spans="1:22" x14ac:dyDescent="0.2">
      <c r="A141" s="19" t="s">
        <v>244</v>
      </c>
      <c r="H141" s="76">
        <f>'Cash flow-Historic'!B28</f>
        <v>-462</v>
      </c>
      <c r="I141" s="76">
        <f>'Cash flow-Historic'!C28</f>
        <v>-1528</v>
      </c>
      <c r="J141" s="76">
        <f>'Cash flow-Historic'!D28</f>
        <v>-3341</v>
      </c>
      <c r="K141" s="76">
        <f>'Cash flow-Historic'!E28</f>
        <v>-4535</v>
      </c>
      <c r="L141" s="76">
        <f>'Cash flow-Historic'!F28</f>
        <v>-1875</v>
      </c>
      <c r="M141" s="155"/>
      <c r="N141" s="155"/>
      <c r="O141" s="155"/>
      <c r="P141" s="155"/>
      <c r="Q141" s="155"/>
      <c r="R141" s="155"/>
      <c r="S141" s="155"/>
      <c r="T141" s="155"/>
      <c r="U141" s="155"/>
      <c r="V141" s="155"/>
    </row>
    <row r="142" spans="1:22" x14ac:dyDescent="0.2">
      <c r="H142" s="76"/>
      <c r="I142" s="76"/>
      <c r="J142" s="76"/>
      <c r="K142" s="76"/>
      <c r="L142" s="76"/>
      <c r="M142" s="155"/>
      <c r="N142" s="155"/>
      <c r="O142" s="155"/>
      <c r="P142" s="155"/>
      <c r="Q142" s="155"/>
      <c r="R142" s="155"/>
      <c r="S142" s="155"/>
      <c r="T142" s="155"/>
      <c r="U142" s="155"/>
      <c r="V142" s="155"/>
    </row>
    <row r="143" spans="1:22" x14ac:dyDescent="0.2">
      <c r="H143" s="76"/>
      <c r="I143" s="76"/>
      <c r="J143" s="76"/>
      <c r="K143" s="76"/>
      <c r="L143" s="76"/>
      <c r="M143" s="155"/>
      <c r="N143" s="155"/>
      <c r="O143" s="155"/>
      <c r="P143" s="155"/>
      <c r="Q143" s="155"/>
      <c r="R143" s="155"/>
      <c r="S143" s="155"/>
      <c r="T143" s="155"/>
      <c r="U143" s="155"/>
      <c r="V143" s="155"/>
    </row>
    <row r="144" spans="1:22" s="321" customFormat="1" ht="20" customHeight="1" x14ac:dyDescent="0.2">
      <c r="A144" s="69" t="s">
        <v>142</v>
      </c>
      <c r="B144" s="36"/>
      <c r="C144" s="37"/>
      <c r="D144" s="37"/>
      <c r="E144" s="37"/>
      <c r="F144" s="37"/>
      <c r="G144" s="37"/>
      <c r="H144" s="37"/>
      <c r="I144" s="37"/>
      <c r="J144" s="37"/>
      <c r="K144" s="37"/>
      <c r="L144" s="37"/>
      <c r="M144" s="37"/>
      <c r="N144" s="37"/>
      <c r="O144" s="37"/>
      <c r="P144" s="37"/>
      <c r="Q144" s="37"/>
      <c r="R144" s="37"/>
      <c r="S144" s="37"/>
      <c r="T144" s="37"/>
      <c r="U144" s="37"/>
      <c r="V144" s="37"/>
    </row>
    <row r="145" spans="1:22" x14ac:dyDescent="0.2">
      <c r="A145" s="26" t="s">
        <v>141</v>
      </c>
      <c r="B145" s="53"/>
      <c r="C145" s="21"/>
      <c r="D145" s="21"/>
      <c r="E145" s="21"/>
      <c r="F145" s="21"/>
      <c r="G145" s="21"/>
      <c r="H145" s="76">
        <f t="shared" ref="H145:V145" si="129">H93</f>
        <v>-20282</v>
      </c>
      <c r="I145" s="76">
        <f t="shared" si="129"/>
        <v>-16174</v>
      </c>
      <c r="J145" s="76">
        <f t="shared" si="129"/>
        <v>-11595</v>
      </c>
      <c r="K145" s="76">
        <f t="shared" si="129"/>
        <v>-23200</v>
      </c>
      <c r="L145" s="76">
        <f t="shared" si="129"/>
        <v>-28703</v>
      </c>
      <c r="M145" s="155">
        <f t="shared" si="129"/>
        <v>-27666.509099693947</v>
      </c>
      <c r="N145" s="155">
        <f t="shared" si="129"/>
        <v>-29603.16473667253</v>
      </c>
      <c r="O145" s="155">
        <f t="shared" si="129"/>
        <v>-31527.370444556243</v>
      </c>
      <c r="P145" s="155">
        <f t="shared" si="129"/>
        <v>-33576.649523452397</v>
      </c>
      <c r="Q145" s="155">
        <f t="shared" si="129"/>
        <v>-35591.248494859545</v>
      </c>
      <c r="R145" s="155">
        <f t="shared" si="129"/>
        <v>-37726.723404551129</v>
      </c>
      <c r="S145" s="155">
        <f t="shared" si="129"/>
        <v>-39801.693191801431</v>
      </c>
      <c r="T145" s="155">
        <f t="shared" si="129"/>
        <v>-41990.78631735051</v>
      </c>
      <c r="U145" s="155">
        <f t="shared" si="129"/>
        <v>-44090.325633218032</v>
      </c>
      <c r="V145" s="155">
        <f t="shared" si="129"/>
        <v>-46294.84191487894</v>
      </c>
    </row>
    <row r="146" spans="1:22" x14ac:dyDescent="0.2">
      <c r="A146" s="26" t="s">
        <v>311</v>
      </c>
      <c r="H146" s="76">
        <f>FS!D84</f>
        <v>4911</v>
      </c>
      <c r="I146" s="76">
        <f>FS!E84</f>
        <v>1348</v>
      </c>
      <c r="J146" s="76">
        <f>FS!F84</f>
        <v>3545</v>
      </c>
      <c r="K146" s="76">
        <f>FS!G84</f>
        <v>4369</v>
      </c>
      <c r="L146" s="76">
        <f>FS!H84</f>
        <v>1888</v>
      </c>
      <c r="M146" s="155">
        <v>0</v>
      </c>
      <c r="N146" s="155">
        <f>FS!J84</f>
        <v>0</v>
      </c>
      <c r="O146" s="155">
        <f>FS!K84</f>
        <v>0</v>
      </c>
      <c r="P146" s="155">
        <f>FS!L84</f>
        <v>0</v>
      </c>
      <c r="Q146" s="155">
        <f>FS!M84</f>
        <v>0</v>
      </c>
      <c r="R146" s="155">
        <f>FS!N84</f>
        <v>0</v>
      </c>
      <c r="S146" s="155">
        <f>FS!O84</f>
        <v>0</v>
      </c>
      <c r="T146" s="155">
        <f>FS!P84</f>
        <v>0</v>
      </c>
      <c r="U146" s="155">
        <f>FS!Q84</f>
        <v>0</v>
      </c>
      <c r="V146" s="155">
        <f>FS!R84</f>
        <v>0</v>
      </c>
    </row>
    <row r="147" spans="1:22" x14ac:dyDescent="0.2">
      <c r="A147" s="26"/>
      <c r="H147" s="76"/>
      <c r="I147" s="76"/>
      <c r="J147" s="76"/>
      <c r="K147" s="76"/>
      <c r="L147" s="76"/>
      <c r="M147" s="155"/>
      <c r="N147" s="155"/>
      <c r="O147" s="155"/>
      <c r="P147" s="155"/>
      <c r="Q147" s="155"/>
      <c r="R147" s="155"/>
      <c r="S147" s="155"/>
      <c r="T147" s="155"/>
      <c r="U147" s="155"/>
      <c r="V147" s="155"/>
    </row>
    <row r="148" spans="1:22" x14ac:dyDescent="0.2">
      <c r="A148" s="26" t="s">
        <v>312</v>
      </c>
      <c r="H148" s="76">
        <f>FS!D90</f>
        <v>1459</v>
      </c>
      <c r="I148" s="76">
        <f>FS!E90</f>
        <v>-25017</v>
      </c>
      <c r="J148" s="76">
        <f>FS!F90</f>
        <v>0</v>
      </c>
      <c r="K148" s="76">
        <f>FS!G90</f>
        <v>7741</v>
      </c>
      <c r="L148" s="76">
        <f>FS!H90</f>
        <v>49744</v>
      </c>
      <c r="M148" s="155">
        <f>FS!I90</f>
        <v>0</v>
      </c>
      <c r="N148" s="155">
        <f>FS!J90</f>
        <v>0</v>
      </c>
      <c r="O148" s="155">
        <f>FS!K90</f>
        <v>0</v>
      </c>
      <c r="P148" s="155">
        <f>FS!L90</f>
        <v>0</v>
      </c>
      <c r="Q148" s="155">
        <f>FS!M90</f>
        <v>0</v>
      </c>
      <c r="R148" s="155">
        <f>FS!N90</f>
        <v>0</v>
      </c>
      <c r="S148" s="155">
        <f>FS!O90</f>
        <v>0</v>
      </c>
      <c r="T148" s="155">
        <f>FS!P90</f>
        <v>0</v>
      </c>
      <c r="U148" s="155">
        <f>FS!Q90</f>
        <v>0</v>
      </c>
      <c r="V148" s="155">
        <f>FS!R90</f>
        <v>0</v>
      </c>
    </row>
    <row r="149" spans="1:22" x14ac:dyDescent="0.2">
      <c r="A149" s="26" t="s">
        <v>324</v>
      </c>
      <c r="H149" s="76">
        <f>'Cash flow-Historic'!B54</f>
        <v>-853</v>
      </c>
      <c r="I149" s="76">
        <f>'Cash flow-Historic'!C54</f>
        <v>-492</v>
      </c>
      <c r="J149" s="76">
        <f>'Cash flow-Historic'!D54</f>
        <v>-998</v>
      </c>
      <c r="K149" s="76">
        <f>'Cash flow-Historic'!E54</f>
        <v>-727</v>
      </c>
      <c r="L149" s="76">
        <f>'Cash flow-Historic'!F54</f>
        <v>-953</v>
      </c>
      <c r="M149" s="155">
        <f t="shared" ref="M149:V149" si="130">M122</f>
        <v>-804.6</v>
      </c>
      <c r="N149" s="155">
        <f t="shared" si="130"/>
        <v>-794.92</v>
      </c>
      <c r="O149" s="155">
        <f t="shared" si="130"/>
        <v>-855.50399999999991</v>
      </c>
      <c r="P149" s="155">
        <f t="shared" si="130"/>
        <v>-827.00479999999993</v>
      </c>
      <c r="Q149" s="155">
        <f t="shared" si="130"/>
        <v>-847.00576000000001</v>
      </c>
      <c r="R149" s="155">
        <f t="shared" si="130"/>
        <v>-825.80691200000001</v>
      </c>
      <c r="S149" s="155">
        <f t="shared" si="130"/>
        <v>-830.04829439999992</v>
      </c>
      <c r="T149" s="155">
        <f t="shared" si="130"/>
        <v>-837.07395327999984</v>
      </c>
      <c r="U149" s="155">
        <f t="shared" si="130"/>
        <v>-833.38794393600006</v>
      </c>
      <c r="V149" s="155">
        <f t="shared" si="130"/>
        <v>-834.66457272320008</v>
      </c>
    </row>
    <row r="150" spans="1:22" x14ac:dyDescent="0.2">
      <c r="A150" s="26" t="s">
        <v>313</v>
      </c>
      <c r="H150" s="76">
        <f>H159</f>
        <v>-6610</v>
      </c>
      <c r="I150" s="76">
        <f t="shared" ref="I150:L150" si="131">I159</f>
        <v>-1344</v>
      </c>
      <c r="J150" s="76">
        <f t="shared" si="131"/>
        <v>-27785</v>
      </c>
      <c r="K150" s="76">
        <f t="shared" si="131"/>
        <v>-19852</v>
      </c>
      <c r="L150" s="76">
        <f t="shared" si="131"/>
        <v>-26463</v>
      </c>
      <c r="M150" s="155">
        <f>M159</f>
        <v>-19736.460411047359</v>
      </c>
      <c r="N150" s="155">
        <f t="shared" ref="N150:V150" si="132">N159</f>
        <v>-24886.242024280698</v>
      </c>
      <c r="O150" s="155">
        <f t="shared" si="132"/>
        <v>-42244.219352542226</v>
      </c>
      <c r="P150" s="155">
        <f t="shared" si="132"/>
        <v>-59177.544148303219</v>
      </c>
      <c r="Q150" s="155">
        <f t="shared" si="132"/>
        <v>-77363.435830548056</v>
      </c>
      <c r="R150" s="155">
        <f t="shared" si="132"/>
        <v>-97105.9362014324</v>
      </c>
      <c r="S150" s="155">
        <f t="shared" si="132"/>
        <v>-112206.51718906389</v>
      </c>
      <c r="T150" s="155">
        <f t="shared" si="132"/>
        <v>-128489.32077498062</v>
      </c>
      <c r="U150" s="155">
        <f t="shared" si="132"/>
        <v>-145340.98418068973</v>
      </c>
      <c r="V150" s="155">
        <f t="shared" si="132"/>
        <v>-163361.90767372251</v>
      </c>
    </row>
    <row r="151" spans="1:22" x14ac:dyDescent="0.2">
      <c r="A151" s="26" t="s">
        <v>314</v>
      </c>
      <c r="H151" s="76">
        <f>FS!D93</f>
        <v>-2267</v>
      </c>
      <c r="I151" s="76">
        <f>FS!E93</f>
        <v>-1478</v>
      </c>
      <c r="J151" s="76">
        <f>FS!F93</f>
        <v>-464</v>
      </c>
      <c r="K151" s="76">
        <f>FS!G93</f>
        <v>-689</v>
      </c>
      <c r="L151" s="76">
        <f>FS!H93</f>
        <v>-1286</v>
      </c>
      <c r="M151" s="155">
        <f>FS!I93</f>
        <v>0</v>
      </c>
      <c r="N151" s="155">
        <f>FS!J93</f>
        <v>0</v>
      </c>
      <c r="O151" s="155">
        <f>FS!K93</f>
        <v>0</v>
      </c>
      <c r="P151" s="155">
        <f>FS!L93</f>
        <v>0</v>
      </c>
      <c r="Q151" s="155">
        <f>FS!M93</f>
        <v>0</v>
      </c>
      <c r="R151" s="155">
        <f>FS!N93</f>
        <v>0</v>
      </c>
      <c r="S151" s="155">
        <f>FS!O93</f>
        <v>0</v>
      </c>
      <c r="T151" s="155">
        <f>FS!P93</f>
        <v>0</v>
      </c>
      <c r="U151" s="155">
        <f>FS!Q93</f>
        <v>0</v>
      </c>
      <c r="V151" s="155">
        <f>FS!R93</f>
        <v>0</v>
      </c>
    </row>
    <row r="152" spans="1:22" x14ac:dyDescent="0.2">
      <c r="A152" s="26"/>
      <c r="M152" s="155"/>
      <c r="N152" s="155"/>
      <c r="O152" s="155"/>
      <c r="P152" s="155"/>
      <c r="Q152" s="155"/>
      <c r="R152" s="155"/>
      <c r="S152" s="155"/>
      <c r="T152" s="155"/>
      <c r="U152" s="155"/>
      <c r="V152" s="155"/>
    </row>
    <row r="153" spans="1:22" x14ac:dyDescent="0.2">
      <c r="A153" s="26" t="s">
        <v>315</v>
      </c>
      <c r="H153" s="19">
        <f>'Cash flow-Historic'!B61</f>
        <v>38041</v>
      </c>
      <c r="I153" s="19">
        <f>'Cash flow-Historic'!C61</f>
        <v>45290</v>
      </c>
      <c r="J153" s="19">
        <f>'Cash flow-Historic'!D61</f>
        <v>-53274</v>
      </c>
      <c r="K153" s="19">
        <f>'Cash flow-Historic'!E61</f>
        <v>-20071</v>
      </c>
      <c r="L153" s="19">
        <f>'Cash flow-Historic'!F61</f>
        <v>21277</v>
      </c>
      <c r="M153" s="155">
        <f t="shared" ref="M153:V153" si="133">SUM(M135:M151)</f>
        <v>26941.118861259456</v>
      </c>
      <c r="N153" s="155">
        <f t="shared" si="133"/>
        <v>8173.1947300585671</v>
      </c>
      <c r="O153" s="155">
        <f t="shared" si="133"/>
        <v>24488.337225598916</v>
      </c>
      <c r="P153" s="155">
        <f t="shared" si="133"/>
        <v>37908.850335928204</v>
      </c>
      <c r="Q153" s="155">
        <f t="shared" si="133"/>
        <v>53201.822343486565</v>
      </c>
      <c r="R153" s="155">
        <f t="shared" si="133"/>
        <v>67521.077443614951</v>
      </c>
      <c r="S153" s="155">
        <f t="shared" si="133"/>
        <v>89437.170637909585</v>
      </c>
      <c r="T153" s="155">
        <f t="shared" si="133"/>
        <v>100813.28908457901</v>
      </c>
      <c r="U153" s="155">
        <f t="shared" si="133"/>
        <v>118276.19928156183</v>
      </c>
      <c r="V153" s="155">
        <f t="shared" si="133"/>
        <v>133419.98857737609</v>
      </c>
    </row>
    <row r="154" spans="1:22" x14ac:dyDescent="0.2">
      <c r="A154" s="26" t="s">
        <v>307</v>
      </c>
      <c r="H154" s="76">
        <f>'Cash flow-Historic'!B63</f>
        <v>40940</v>
      </c>
      <c r="I154" s="76">
        <f>'Cash flow-Historic'!C63</f>
        <v>86260</v>
      </c>
      <c r="J154" s="76">
        <f>'Cash flow-Historic'!D63</f>
        <v>32986</v>
      </c>
      <c r="K154" s="76">
        <f>'Cash flow-Historic'!E63</f>
        <v>12915</v>
      </c>
      <c r="L154" s="76">
        <f>'Cash flow-Historic'!F63</f>
        <v>34192</v>
      </c>
      <c r="M154" s="155">
        <f t="shared" ref="M154:V154" si="134">M129+M153</f>
        <v>61133.118861259456</v>
      </c>
      <c r="N154" s="155">
        <f t="shared" si="134"/>
        <v>69306.31359131803</v>
      </c>
      <c r="O154" s="155">
        <f t="shared" si="134"/>
        <v>93794.650816916954</v>
      </c>
      <c r="P154" s="155">
        <f t="shared" si="134"/>
        <v>131703.50115284516</v>
      </c>
      <c r="Q154" s="155">
        <f t="shared" si="134"/>
        <v>184905.32349633172</v>
      </c>
      <c r="R154" s="155">
        <f t="shared" si="134"/>
        <v>252426.40093994667</v>
      </c>
      <c r="S154" s="155">
        <f t="shared" si="134"/>
        <v>341863.57157785626</v>
      </c>
      <c r="T154" s="155">
        <f t="shared" si="134"/>
        <v>442676.8606624353</v>
      </c>
      <c r="U154" s="155">
        <f t="shared" si="134"/>
        <v>560953.05994399707</v>
      </c>
      <c r="V154" s="155">
        <f t="shared" si="134"/>
        <v>694373.04852137319</v>
      </c>
    </row>
    <row r="156" spans="1:22" s="321" customFormat="1" ht="20" customHeight="1" x14ac:dyDescent="0.2">
      <c r="A156" s="69" t="s">
        <v>316</v>
      </c>
      <c r="B156" s="36"/>
      <c r="C156" s="37"/>
      <c r="D156" s="37"/>
      <c r="E156" s="37"/>
      <c r="F156" s="37"/>
      <c r="G156" s="37"/>
      <c r="H156" s="37"/>
      <c r="I156" s="37"/>
      <c r="J156" s="37"/>
      <c r="K156" s="37"/>
      <c r="L156" s="37"/>
      <c r="M156" s="37"/>
      <c r="N156" s="37"/>
      <c r="O156" s="37"/>
      <c r="P156" s="37"/>
      <c r="Q156" s="37"/>
      <c r="R156" s="37"/>
      <c r="S156" s="37"/>
      <c r="T156" s="37"/>
      <c r="U156" s="37"/>
      <c r="V156" s="37"/>
    </row>
    <row r="157" spans="1:22" x14ac:dyDescent="0.2">
      <c r="A157" s="26" t="s">
        <v>317</v>
      </c>
      <c r="H157" s="76"/>
      <c r="I157" s="76">
        <f>H161</f>
        <v>355584</v>
      </c>
      <c r="J157" s="76">
        <f t="shared" ref="J157:L157" si="135">I161</f>
        <v>390868</v>
      </c>
      <c r="K157" s="76">
        <f t="shared" si="135"/>
        <v>393845</v>
      </c>
      <c r="L157" s="76">
        <f t="shared" si="135"/>
        <v>415190</v>
      </c>
      <c r="M157" s="155">
        <f>L161</f>
        <v>433748</v>
      </c>
      <c r="N157" s="155">
        <f t="shared" ref="N157:V157" si="136">M161</f>
        <v>451676.54037339415</v>
      </c>
      <c r="O157" s="155">
        <f t="shared" si="136"/>
        <v>474283.12663972547</v>
      </c>
      <c r="P157" s="155">
        <f t="shared" si="136"/>
        <v>512657.64650959201</v>
      </c>
      <c r="Q157" s="155">
        <f t="shared" si="136"/>
        <v>566414.34691911936</v>
      </c>
      <c r="R157" s="155">
        <f t="shared" si="136"/>
        <v>636691.05580335762</v>
      </c>
      <c r="S157" s="155">
        <f t="shared" si="136"/>
        <v>724901.79174206348</v>
      </c>
      <c r="T157" s="155">
        <f t="shared" si="136"/>
        <v>826829.84934128937</v>
      </c>
      <c r="U157" s="155">
        <f t="shared" si="136"/>
        <v>943549.15599947795</v>
      </c>
      <c r="V157" s="155">
        <f t="shared" si="136"/>
        <v>1075576.4622399518</v>
      </c>
    </row>
    <row r="158" spans="1:22" x14ac:dyDescent="0.2">
      <c r="A158" s="26" t="s">
        <v>318</v>
      </c>
      <c r="H158" s="76">
        <f>FS!D25</f>
        <v>11383</v>
      </c>
      <c r="I158" s="76">
        <f>FS!E25</f>
        <v>36608</v>
      </c>
      <c r="J158" s="76">
        <f>FS!F25</f>
        <v>30468</v>
      </c>
      <c r="K158" s="76">
        <f>FS!G25</f>
        <v>41086</v>
      </c>
      <c r="L158" s="76">
        <f>FS!H25</f>
        <v>44241</v>
      </c>
      <c r="M158" s="155">
        <f>FS!I25</f>
        <v>37665.000784441523</v>
      </c>
      <c r="N158" s="155">
        <f>FS!J25</f>
        <v>47492.828290612015</v>
      </c>
      <c r="O158" s="155">
        <f>FS!K25</f>
        <v>80618.739222408825</v>
      </c>
      <c r="P158" s="155">
        <f>FS!L25</f>
        <v>112934.24455783056</v>
      </c>
      <c r="Q158" s="155">
        <f>FS!M25</f>
        <v>147640.14471478635</v>
      </c>
      <c r="R158" s="155">
        <f>FS!N25</f>
        <v>185316.67214013817</v>
      </c>
      <c r="S158" s="155">
        <f>FS!O25</f>
        <v>214134.57478828984</v>
      </c>
      <c r="T158" s="155">
        <f>FS!P25</f>
        <v>245208.62743316911</v>
      </c>
      <c r="U158" s="155">
        <f>FS!Q25</f>
        <v>277368.29042116361</v>
      </c>
      <c r="V158" s="155">
        <f>FS!R25</f>
        <v>311759.36578954675</v>
      </c>
    </row>
    <row r="159" spans="1:22" x14ac:dyDescent="0.2">
      <c r="A159" s="26" t="s">
        <v>319</v>
      </c>
      <c r="H159" s="76">
        <f>'Cash flow-Historic'!B57</f>
        <v>-6610</v>
      </c>
      <c r="I159" s="76">
        <f>'Cash flow-Historic'!C57</f>
        <v>-1344</v>
      </c>
      <c r="J159" s="76">
        <f>'Cash flow-Historic'!D57</f>
        <v>-27785</v>
      </c>
      <c r="K159" s="76">
        <f>'Cash flow-Historic'!E57</f>
        <v>-19852</v>
      </c>
      <c r="L159" s="76">
        <f>'Cash flow-Historic'!F57</f>
        <v>-26463</v>
      </c>
      <c r="M159" s="155">
        <f>-M158*52.4%</f>
        <v>-19736.460411047359</v>
      </c>
      <c r="N159" s="155">
        <f t="shared" ref="N159:V159" si="137">-N158*52.4%</f>
        <v>-24886.242024280698</v>
      </c>
      <c r="O159" s="155">
        <f t="shared" si="137"/>
        <v>-42244.219352542226</v>
      </c>
      <c r="P159" s="155">
        <f t="shared" si="137"/>
        <v>-59177.544148303219</v>
      </c>
      <c r="Q159" s="155">
        <f t="shared" si="137"/>
        <v>-77363.435830548056</v>
      </c>
      <c r="R159" s="155">
        <f t="shared" si="137"/>
        <v>-97105.9362014324</v>
      </c>
      <c r="S159" s="155">
        <f t="shared" si="137"/>
        <v>-112206.51718906389</v>
      </c>
      <c r="T159" s="155">
        <f t="shared" si="137"/>
        <v>-128489.32077498062</v>
      </c>
      <c r="U159" s="155">
        <f t="shared" si="137"/>
        <v>-145340.98418068973</v>
      </c>
      <c r="V159" s="155">
        <f t="shared" si="137"/>
        <v>-163361.90767372251</v>
      </c>
    </row>
    <row r="160" spans="1:22" x14ac:dyDescent="0.2">
      <c r="A160" s="26" t="s">
        <v>320</v>
      </c>
      <c r="H160" s="76">
        <f>H161-H157-H158-H159</f>
        <v>350811</v>
      </c>
      <c r="I160" s="76">
        <f t="shared" ref="I160:L160" si="138">I161-I157-I158-I159</f>
        <v>20</v>
      </c>
      <c r="J160" s="76">
        <f t="shared" si="138"/>
        <v>294</v>
      </c>
      <c r="K160" s="76">
        <f t="shared" si="138"/>
        <v>111</v>
      </c>
      <c r="L160" s="76">
        <f t="shared" si="138"/>
        <v>780</v>
      </c>
      <c r="M160" s="155">
        <v>0</v>
      </c>
      <c r="N160" s="155">
        <v>0</v>
      </c>
      <c r="O160" s="155">
        <v>0</v>
      </c>
      <c r="P160" s="155">
        <v>0</v>
      </c>
      <c r="Q160" s="155">
        <v>0</v>
      </c>
      <c r="R160" s="155">
        <v>0</v>
      </c>
      <c r="S160" s="155">
        <v>0</v>
      </c>
      <c r="T160" s="155">
        <v>0</v>
      </c>
      <c r="U160" s="155">
        <v>0</v>
      </c>
      <c r="V160" s="155">
        <v>0</v>
      </c>
    </row>
    <row r="161" spans="1:23" x14ac:dyDescent="0.2">
      <c r="A161" s="26" t="s">
        <v>321</v>
      </c>
      <c r="H161" s="76">
        <f>'Balance Sheet- Historic'!C31</f>
        <v>355584</v>
      </c>
      <c r="I161" s="76">
        <f>'Balance Sheet- Historic'!D31</f>
        <v>390868</v>
      </c>
      <c r="J161" s="76">
        <f>'Balance Sheet- Historic'!E31</f>
        <v>393845</v>
      </c>
      <c r="K161" s="76">
        <f>'Balance Sheet- Historic'!F31</f>
        <v>415190</v>
      </c>
      <c r="L161" s="76">
        <f>'Balance Sheet- Historic'!G31</f>
        <v>433748</v>
      </c>
      <c r="M161" s="155">
        <f>SUM(M157:M160)</f>
        <v>451676.54037339415</v>
      </c>
      <c r="N161" s="155">
        <f t="shared" ref="N161:V161" si="139">SUM(N157:N160)</f>
        <v>474283.12663972547</v>
      </c>
      <c r="O161" s="155">
        <f t="shared" si="139"/>
        <v>512657.64650959201</v>
      </c>
      <c r="P161" s="155">
        <f t="shared" si="139"/>
        <v>566414.34691911936</v>
      </c>
      <c r="Q161" s="155">
        <f t="shared" si="139"/>
        <v>636691.05580335762</v>
      </c>
      <c r="R161" s="155">
        <f t="shared" si="139"/>
        <v>724901.79174206348</v>
      </c>
      <c r="S161" s="155">
        <f t="shared" si="139"/>
        <v>826829.84934128937</v>
      </c>
      <c r="T161" s="155">
        <f t="shared" si="139"/>
        <v>943549.15599947795</v>
      </c>
      <c r="U161" s="155">
        <f t="shared" si="139"/>
        <v>1075576.4622399518</v>
      </c>
      <c r="V161" s="155">
        <f t="shared" si="139"/>
        <v>1223973.9203557759</v>
      </c>
    </row>
    <row r="162" spans="1:23" x14ac:dyDescent="0.2">
      <c r="H162" s="13"/>
    </row>
    <row r="163" spans="1:23" s="321" customFormat="1" ht="20" customHeight="1" x14ac:dyDescent="0.2">
      <c r="A163" s="56"/>
      <c r="B163" s="56"/>
      <c r="C163" s="56"/>
      <c r="D163" s="56"/>
      <c r="E163" s="56"/>
      <c r="F163" s="56"/>
      <c r="G163" s="56"/>
      <c r="H163" s="56"/>
      <c r="I163" s="56"/>
      <c r="J163" s="56"/>
      <c r="K163" s="56"/>
      <c r="L163" s="56"/>
      <c r="M163" s="56"/>
      <c r="N163" s="56"/>
      <c r="O163" s="56"/>
      <c r="P163" s="56"/>
      <c r="Q163" s="56"/>
      <c r="R163" s="56"/>
      <c r="S163" s="56"/>
      <c r="T163" s="56"/>
      <c r="U163" s="56"/>
      <c r="V163" s="56"/>
      <c r="W163" s="323"/>
    </row>
    <row r="164" spans="1:23" ht="17" customHeight="1" x14ac:dyDescent="0.2">
      <c r="A164" s="56"/>
      <c r="C164" s="56"/>
      <c r="D164" s="56"/>
      <c r="E164" s="56"/>
      <c r="F164" s="56"/>
      <c r="G164" s="56"/>
      <c r="H164" s="56"/>
      <c r="I164" s="56"/>
      <c r="J164" s="56"/>
      <c r="K164" s="56"/>
      <c r="L164" s="56"/>
      <c r="M164" s="56"/>
      <c r="N164" s="56"/>
      <c r="O164" s="56"/>
      <c r="P164" s="56"/>
      <c r="Q164" s="56"/>
      <c r="R164" s="56"/>
      <c r="S164" s="56"/>
      <c r="T164" s="56"/>
      <c r="U164" s="56"/>
      <c r="V164" s="56"/>
      <c r="W164" s="323"/>
    </row>
    <row r="165" spans="1:23" ht="17" customHeight="1" x14ac:dyDescent="0.2">
      <c r="A165" s="56"/>
      <c r="C165" s="56"/>
      <c r="D165" s="56"/>
      <c r="E165" s="56"/>
      <c r="F165" s="56"/>
      <c r="G165" s="56"/>
      <c r="H165" s="56"/>
      <c r="I165" s="56"/>
      <c r="J165" s="56"/>
      <c r="K165" s="56"/>
      <c r="L165" s="56"/>
      <c r="M165" s="56"/>
      <c r="N165" s="56"/>
      <c r="O165" s="56"/>
      <c r="P165" s="56"/>
      <c r="Q165" s="56"/>
      <c r="R165" s="56"/>
      <c r="S165" s="56"/>
      <c r="T165" s="56"/>
      <c r="U165" s="56"/>
      <c r="V165" s="56"/>
      <c r="W165" s="323"/>
    </row>
    <row r="166" spans="1:23" x14ac:dyDescent="0.2">
      <c r="A166" s="56"/>
      <c r="C166" s="56"/>
      <c r="D166" s="56"/>
      <c r="E166" s="56"/>
      <c r="F166" s="56"/>
      <c r="G166" s="56"/>
      <c r="H166" s="56"/>
      <c r="I166" s="56"/>
      <c r="J166" s="56"/>
      <c r="K166" s="56"/>
      <c r="L166" s="56"/>
      <c r="M166" s="56"/>
      <c r="N166" s="56"/>
      <c r="O166" s="56"/>
      <c r="P166" s="56"/>
      <c r="Q166" s="56"/>
      <c r="R166" s="56"/>
      <c r="S166" s="56"/>
      <c r="T166" s="56"/>
      <c r="U166" s="56"/>
      <c r="V166" s="56"/>
      <c r="W166" s="323"/>
    </row>
    <row r="167" spans="1:23" s="321" customFormat="1" ht="20" customHeight="1" x14ac:dyDescent="0.2">
      <c r="A167" s="56"/>
      <c r="B167" s="56"/>
      <c r="C167" s="56"/>
      <c r="D167" s="56"/>
      <c r="E167" s="56"/>
      <c r="F167" s="56"/>
      <c r="G167" s="56"/>
      <c r="H167" s="56"/>
      <c r="I167" s="56"/>
      <c r="J167" s="56"/>
      <c r="K167" s="56"/>
      <c r="L167" s="56"/>
      <c r="M167" s="56"/>
      <c r="N167" s="56"/>
      <c r="O167" s="56"/>
      <c r="P167" s="56"/>
      <c r="Q167" s="56"/>
      <c r="R167" s="56"/>
      <c r="S167" s="56"/>
      <c r="T167" s="56"/>
      <c r="U167" s="56"/>
      <c r="V167" s="56"/>
      <c r="W167" s="323"/>
    </row>
    <row r="168" spans="1:23" ht="17" customHeight="1" x14ac:dyDescent="0.2">
      <c r="A168" s="56"/>
      <c r="C168" s="56"/>
      <c r="D168" s="56"/>
      <c r="E168" s="56"/>
      <c r="F168" s="56"/>
      <c r="G168" s="56"/>
      <c r="H168" s="56"/>
      <c r="I168" s="56"/>
      <c r="J168" s="56"/>
      <c r="K168" s="56"/>
      <c r="L168" s="56"/>
      <c r="M168" s="56"/>
      <c r="N168" s="56"/>
      <c r="O168" s="56"/>
      <c r="P168" s="56"/>
      <c r="Q168" s="56"/>
      <c r="R168" s="56"/>
      <c r="S168" s="56"/>
      <c r="T168" s="56"/>
      <c r="U168" s="56"/>
      <c r="V168" s="56"/>
      <c r="W168" s="323"/>
    </row>
    <row r="169" spans="1:23" ht="17" customHeight="1" x14ac:dyDescent="0.2">
      <c r="A169" s="56"/>
      <c r="C169" s="56"/>
      <c r="D169" s="56"/>
      <c r="E169" s="56"/>
      <c r="F169" s="56"/>
      <c r="G169" s="56"/>
      <c r="H169" s="56"/>
      <c r="I169" s="56"/>
      <c r="J169" s="56"/>
      <c r="K169" s="56"/>
      <c r="L169" s="56"/>
      <c r="M169" s="56"/>
      <c r="N169" s="56"/>
      <c r="O169" s="56"/>
      <c r="P169" s="56"/>
      <c r="Q169" s="56"/>
      <c r="R169" s="56"/>
      <c r="S169" s="56"/>
      <c r="T169" s="56"/>
      <c r="U169" s="56"/>
      <c r="V169" s="56"/>
      <c r="W169" s="323"/>
    </row>
    <row r="170" spans="1:23" ht="17" customHeight="1" x14ac:dyDescent="0.2">
      <c r="A170" s="56"/>
      <c r="C170" s="56"/>
      <c r="D170" s="56"/>
      <c r="E170" s="56"/>
      <c r="F170" s="56"/>
      <c r="G170" s="56"/>
      <c r="H170" s="56"/>
      <c r="I170" s="56"/>
      <c r="J170" s="56"/>
      <c r="K170" s="56"/>
      <c r="L170" s="56"/>
      <c r="M170" s="56"/>
      <c r="N170" s="56"/>
      <c r="O170" s="56"/>
      <c r="P170" s="56"/>
      <c r="Q170" s="56"/>
      <c r="R170" s="56"/>
      <c r="S170" s="56"/>
      <c r="T170" s="56"/>
      <c r="U170" s="56"/>
      <c r="V170" s="56"/>
      <c r="W170" s="323"/>
    </row>
    <row r="171" spans="1:23" ht="17" customHeight="1" x14ac:dyDescent="0.2">
      <c r="A171" s="56"/>
      <c r="C171" s="56"/>
      <c r="D171" s="56"/>
      <c r="E171" s="56"/>
      <c r="F171" s="56"/>
      <c r="G171" s="56"/>
      <c r="H171" s="56"/>
      <c r="I171" s="56"/>
      <c r="J171" s="56"/>
      <c r="K171" s="56"/>
      <c r="L171" s="56"/>
      <c r="M171" s="56"/>
      <c r="N171" s="56"/>
      <c r="O171" s="56"/>
      <c r="P171" s="56"/>
      <c r="Q171" s="56"/>
      <c r="R171" s="56"/>
      <c r="S171" s="56"/>
      <c r="T171" s="56"/>
      <c r="U171" s="56"/>
      <c r="V171" s="56"/>
      <c r="W171" s="323"/>
    </row>
    <row r="172" spans="1:23" ht="17" customHeight="1" x14ac:dyDescent="0.2">
      <c r="A172" s="56"/>
      <c r="C172" s="56"/>
      <c r="D172" s="56"/>
      <c r="E172" s="56"/>
      <c r="F172" s="56"/>
      <c r="G172" s="56"/>
      <c r="H172" s="56"/>
      <c r="I172" s="56"/>
      <c r="J172" s="56"/>
      <c r="K172" s="56"/>
      <c r="L172" s="56"/>
      <c r="M172" s="56"/>
      <c r="N172" s="56"/>
      <c r="O172" s="56"/>
      <c r="P172" s="56"/>
      <c r="Q172" s="56"/>
      <c r="R172" s="56"/>
      <c r="S172" s="56"/>
      <c r="T172" s="56"/>
      <c r="U172" s="56"/>
      <c r="V172" s="56"/>
      <c r="W172" s="323"/>
    </row>
    <row r="173" spans="1:23" ht="17" customHeight="1" x14ac:dyDescent="0.2">
      <c r="A173" s="56"/>
      <c r="C173" s="56"/>
      <c r="D173" s="56"/>
      <c r="E173" s="56"/>
      <c r="F173" s="56"/>
      <c r="G173" s="56"/>
      <c r="H173" s="56"/>
      <c r="I173" s="56"/>
      <c r="J173" s="56"/>
      <c r="K173" s="56"/>
      <c r="L173" s="56"/>
      <c r="M173" s="56"/>
      <c r="N173" s="56"/>
      <c r="O173" s="56"/>
      <c r="P173" s="56"/>
      <c r="Q173" s="56"/>
      <c r="R173" s="56"/>
      <c r="S173" s="56"/>
      <c r="T173" s="56"/>
      <c r="U173" s="56"/>
      <c r="V173" s="56"/>
      <c r="W173" s="323"/>
    </row>
    <row r="174" spans="1:23" ht="8" customHeight="1" x14ac:dyDescent="0.2">
      <c r="A174" s="56"/>
      <c r="C174" s="56"/>
      <c r="D174" s="56"/>
      <c r="E174" s="56"/>
      <c r="F174" s="56"/>
      <c r="G174" s="56"/>
      <c r="H174" s="56"/>
      <c r="I174" s="56"/>
      <c r="J174" s="56"/>
      <c r="K174" s="56"/>
      <c r="L174" s="56"/>
      <c r="M174" s="56"/>
      <c r="N174" s="56"/>
      <c r="O174" s="56"/>
      <c r="P174" s="56"/>
      <c r="Q174" s="56"/>
      <c r="R174" s="56"/>
      <c r="S174" s="56"/>
      <c r="T174" s="56"/>
      <c r="U174" s="56"/>
      <c r="V174" s="56"/>
      <c r="W174" s="323"/>
    </row>
    <row r="175" spans="1:23" ht="17" customHeight="1" x14ac:dyDescent="0.2">
      <c r="A175" s="56"/>
      <c r="C175" s="56"/>
      <c r="D175" s="56"/>
      <c r="E175" s="56"/>
      <c r="F175" s="56"/>
      <c r="G175" s="56"/>
      <c r="H175" s="56"/>
      <c r="I175" s="56"/>
      <c r="J175" s="56"/>
      <c r="K175" s="56"/>
      <c r="L175" s="56"/>
      <c r="M175" s="56"/>
      <c r="N175" s="56"/>
      <c r="O175" s="56"/>
      <c r="P175" s="56"/>
      <c r="Q175" s="56"/>
      <c r="R175" s="56"/>
      <c r="S175" s="56"/>
      <c r="T175" s="56"/>
      <c r="U175" s="56"/>
      <c r="V175" s="56"/>
      <c r="W175" s="323"/>
    </row>
    <row r="176" spans="1:23" ht="17" customHeight="1" x14ac:dyDescent="0.2">
      <c r="A176" s="56"/>
      <c r="C176" s="56"/>
      <c r="D176" s="56"/>
      <c r="E176" s="56"/>
      <c r="F176" s="56"/>
      <c r="G176" s="56"/>
      <c r="H176" s="56"/>
      <c r="I176" s="56"/>
      <c r="J176" s="56"/>
      <c r="K176" s="56"/>
      <c r="L176" s="56"/>
      <c r="M176" s="56"/>
      <c r="N176" s="56"/>
      <c r="O176" s="56"/>
      <c r="P176" s="56"/>
      <c r="Q176" s="56"/>
      <c r="R176" s="56"/>
      <c r="S176" s="56"/>
      <c r="T176" s="56"/>
      <c r="U176" s="56"/>
      <c r="V176" s="56"/>
      <c r="W176" s="323"/>
    </row>
    <row r="177" spans="1:23" ht="17" customHeight="1" x14ac:dyDescent="0.2">
      <c r="A177" s="56"/>
      <c r="C177" s="56"/>
      <c r="D177" s="56"/>
      <c r="E177" s="56"/>
      <c r="F177" s="56"/>
      <c r="G177" s="56"/>
      <c r="H177" s="56"/>
      <c r="I177" s="56"/>
      <c r="J177" s="56"/>
      <c r="K177" s="56"/>
      <c r="L177" s="56"/>
      <c r="M177" s="56"/>
      <c r="N177" s="56"/>
      <c r="O177" s="56"/>
      <c r="P177" s="56"/>
      <c r="Q177" s="56"/>
      <c r="R177" s="56"/>
      <c r="S177" s="56"/>
      <c r="T177" s="56"/>
      <c r="U177" s="56"/>
      <c r="V177" s="56"/>
      <c r="W177" s="323"/>
    </row>
    <row r="178" spans="1:23" ht="17" customHeight="1" x14ac:dyDescent="0.2">
      <c r="A178" s="56"/>
      <c r="C178" s="56"/>
      <c r="D178" s="56"/>
      <c r="E178" s="56"/>
      <c r="F178" s="56"/>
      <c r="G178" s="56"/>
      <c r="H178" s="56"/>
      <c r="I178" s="56"/>
      <c r="J178" s="56"/>
      <c r="K178" s="56"/>
      <c r="L178" s="56"/>
      <c r="M178" s="56"/>
      <c r="N178" s="56"/>
      <c r="O178" s="56"/>
      <c r="P178" s="56"/>
      <c r="Q178" s="56"/>
      <c r="R178" s="56"/>
      <c r="S178" s="56"/>
      <c r="T178" s="56"/>
      <c r="U178" s="56"/>
      <c r="V178" s="56"/>
      <c r="W178" s="323"/>
    </row>
    <row r="179" spans="1:23" ht="8" customHeight="1" x14ac:dyDescent="0.2">
      <c r="A179" s="56"/>
      <c r="C179" s="56"/>
      <c r="D179" s="56"/>
      <c r="E179" s="56"/>
      <c r="F179" s="56"/>
      <c r="G179" s="56"/>
      <c r="H179" s="56"/>
      <c r="I179" s="56"/>
      <c r="J179" s="56"/>
      <c r="K179" s="56"/>
      <c r="L179" s="56"/>
      <c r="M179" s="56"/>
      <c r="N179" s="56"/>
      <c r="O179" s="56"/>
      <c r="P179" s="56"/>
      <c r="Q179" s="56"/>
      <c r="R179" s="56"/>
      <c r="S179" s="56"/>
      <c r="T179" s="56"/>
      <c r="U179" s="56"/>
      <c r="V179" s="56"/>
      <c r="W179" s="323"/>
    </row>
    <row r="180" spans="1:23" ht="17" customHeight="1" x14ac:dyDescent="0.2">
      <c r="A180" s="56"/>
      <c r="C180" s="56"/>
      <c r="D180" s="56"/>
      <c r="E180" s="56"/>
      <c r="F180" s="56"/>
      <c r="G180" s="56"/>
      <c r="H180" s="56"/>
      <c r="I180" s="56"/>
      <c r="J180" s="56"/>
      <c r="K180" s="56"/>
      <c r="L180" s="56"/>
      <c r="M180" s="56"/>
      <c r="N180" s="56"/>
      <c r="O180" s="56"/>
      <c r="P180" s="56"/>
      <c r="Q180" s="56"/>
      <c r="R180" s="56"/>
      <c r="S180" s="56"/>
      <c r="T180" s="56"/>
      <c r="U180" s="56"/>
      <c r="V180" s="56"/>
      <c r="W180" s="323"/>
    </row>
    <row r="181" spans="1:23" ht="17" customHeight="1" x14ac:dyDescent="0.2">
      <c r="A181" s="56"/>
      <c r="C181" s="56"/>
      <c r="D181" s="56"/>
      <c r="E181" s="56"/>
      <c r="F181" s="56"/>
      <c r="G181" s="56"/>
      <c r="H181" s="56"/>
      <c r="I181" s="56"/>
      <c r="J181" s="56"/>
      <c r="K181" s="56"/>
      <c r="L181" s="56"/>
      <c r="M181" s="56"/>
      <c r="N181" s="56"/>
      <c r="O181" s="56"/>
      <c r="P181" s="56"/>
      <c r="Q181" s="56"/>
      <c r="R181" s="56"/>
      <c r="S181" s="56"/>
      <c r="T181" s="56"/>
      <c r="U181" s="56"/>
      <c r="V181" s="56"/>
      <c r="W181" s="323"/>
    </row>
    <row r="182" spans="1:23" ht="17" customHeight="1" x14ac:dyDescent="0.2">
      <c r="A182" s="56"/>
      <c r="C182" s="56"/>
      <c r="D182" s="56"/>
      <c r="E182" s="56"/>
      <c r="F182" s="56"/>
      <c r="G182" s="56"/>
      <c r="H182" s="56"/>
      <c r="I182" s="56"/>
      <c r="J182" s="56"/>
      <c r="K182" s="56"/>
      <c r="L182" s="56"/>
      <c r="M182" s="56"/>
      <c r="N182" s="56"/>
      <c r="O182" s="56"/>
      <c r="P182" s="56"/>
      <c r="Q182" s="56"/>
      <c r="R182" s="56"/>
      <c r="S182" s="56"/>
      <c r="T182" s="56"/>
      <c r="U182" s="56"/>
      <c r="V182" s="56"/>
      <c r="W182" s="323"/>
    </row>
    <row r="183" spans="1:23" ht="17" customHeight="1" x14ac:dyDescent="0.2">
      <c r="A183" s="56"/>
      <c r="C183" s="56"/>
      <c r="D183" s="56"/>
      <c r="E183" s="56"/>
      <c r="F183" s="56"/>
      <c r="G183" s="56"/>
      <c r="H183" s="56"/>
      <c r="I183" s="56"/>
      <c r="J183" s="56"/>
      <c r="K183" s="56"/>
      <c r="L183" s="56"/>
      <c r="M183" s="56"/>
      <c r="N183" s="56"/>
      <c r="O183" s="56"/>
      <c r="P183" s="56"/>
      <c r="Q183" s="56"/>
      <c r="R183" s="56"/>
      <c r="S183" s="56"/>
      <c r="T183" s="56"/>
      <c r="U183" s="56"/>
      <c r="V183" s="56"/>
      <c r="W183" s="323"/>
    </row>
    <row r="184" spans="1:23" ht="17" customHeight="1" x14ac:dyDescent="0.2">
      <c r="A184" s="56"/>
      <c r="C184" s="56"/>
      <c r="D184" s="56"/>
      <c r="E184" s="56"/>
      <c r="F184" s="56"/>
      <c r="G184" s="56"/>
      <c r="H184" s="56"/>
      <c r="I184" s="56"/>
      <c r="J184" s="56"/>
      <c r="K184" s="56"/>
      <c r="L184" s="56"/>
      <c r="M184" s="56"/>
      <c r="N184" s="56"/>
      <c r="O184" s="56"/>
      <c r="P184" s="56"/>
      <c r="Q184" s="56"/>
      <c r="R184" s="56"/>
      <c r="S184" s="56"/>
      <c r="T184" s="56"/>
      <c r="U184" s="56"/>
      <c r="V184" s="56"/>
      <c r="W184" s="323"/>
    </row>
    <row r="185" spans="1:23" ht="17" customHeight="1" x14ac:dyDescent="0.2">
      <c r="A185" s="56"/>
      <c r="C185" s="56"/>
      <c r="D185" s="56"/>
      <c r="E185" s="56"/>
      <c r="F185" s="56"/>
      <c r="G185" s="56"/>
      <c r="H185" s="56"/>
      <c r="I185" s="56"/>
      <c r="J185" s="56"/>
      <c r="K185" s="56"/>
      <c r="L185" s="56"/>
      <c r="M185" s="56"/>
      <c r="N185" s="56"/>
      <c r="O185" s="56"/>
      <c r="P185" s="56"/>
      <c r="Q185" s="56"/>
      <c r="R185" s="56"/>
      <c r="S185" s="56"/>
      <c r="T185" s="56"/>
      <c r="U185" s="56"/>
      <c r="V185" s="56"/>
      <c r="W185" s="323"/>
    </row>
    <row r="186" spans="1:23" ht="17" customHeight="1" x14ac:dyDescent="0.2">
      <c r="A186" s="56"/>
      <c r="C186" s="56"/>
      <c r="D186" s="56"/>
      <c r="E186" s="56"/>
      <c r="F186" s="56"/>
      <c r="G186" s="56"/>
      <c r="H186" s="56"/>
      <c r="I186" s="56"/>
      <c r="J186" s="56"/>
      <c r="K186" s="56"/>
      <c r="L186" s="56"/>
      <c r="M186" s="56"/>
      <c r="N186" s="56"/>
      <c r="O186" s="56"/>
      <c r="P186" s="56"/>
      <c r="Q186" s="56"/>
      <c r="R186" s="56"/>
      <c r="S186" s="56"/>
      <c r="T186" s="56"/>
      <c r="U186" s="56"/>
      <c r="V186" s="56"/>
      <c r="W186" s="323"/>
    </row>
    <row r="187" spans="1:23" ht="8" customHeight="1" x14ac:dyDescent="0.2">
      <c r="A187" s="56"/>
      <c r="C187" s="56"/>
      <c r="D187" s="56"/>
      <c r="E187" s="56"/>
      <c r="F187" s="56"/>
      <c r="G187" s="56"/>
      <c r="H187" s="56"/>
      <c r="I187" s="56"/>
      <c r="J187" s="56"/>
      <c r="K187" s="56"/>
      <c r="L187" s="56"/>
      <c r="M187" s="56"/>
      <c r="N187" s="56"/>
      <c r="O187" s="56"/>
      <c r="P187" s="56"/>
      <c r="Q187" s="56"/>
      <c r="R187" s="56"/>
      <c r="S187" s="56"/>
      <c r="T187" s="56"/>
      <c r="U187" s="56"/>
      <c r="V187" s="56"/>
      <c r="W187" s="323"/>
    </row>
    <row r="188" spans="1:23" s="321" customFormat="1" ht="20" customHeight="1" x14ac:dyDescent="0.2">
      <c r="A188" s="56"/>
      <c r="B188" s="56"/>
      <c r="C188" s="56"/>
      <c r="D188" s="56"/>
      <c r="E188" s="56"/>
      <c r="F188" s="56"/>
      <c r="G188" s="56"/>
      <c r="H188" s="56"/>
      <c r="I188" s="56"/>
      <c r="J188" s="56"/>
      <c r="K188" s="56"/>
      <c r="L188" s="56"/>
      <c r="M188" s="56"/>
      <c r="N188" s="56"/>
      <c r="O188" s="56"/>
      <c r="P188" s="56"/>
      <c r="Q188" s="56"/>
      <c r="R188" s="56"/>
      <c r="S188" s="56"/>
      <c r="T188" s="56"/>
      <c r="U188" s="56"/>
      <c r="V188" s="56"/>
      <c r="W188" s="323"/>
    </row>
    <row r="189" spans="1:23" ht="17" customHeight="1" x14ac:dyDescent="0.2">
      <c r="A189" s="56"/>
      <c r="C189" s="56"/>
      <c r="D189" s="56"/>
      <c r="E189" s="56"/>
      <c r="F189" s="56"/>
      <c r="G189" s="56"/>
      <c r="H189" s="56"/>
      <c r="I189" s="56"/>
      <c r="J189" s="56"/>
      <c r="K189" s="56"/>
      <c r="L189" s="56"/>
      <c r="M189" s="56"/>
      <c r="N189" s="56"/>
      <c r="O189" s="56"/>
      <c r="P189" s="56"/>
      <c r="Q189" s="56"/>
      <c r="R189" s="56"/>
      <c r="S189" s="56"/>
      <c r="T189" s="56"/>
      <c r="U189" s="56"/>
      <c r="V189" s="56"/>
      <c r="W189" s="323"/>
    </row>
    <row r="190" spans="1:23" ht="17" customHeight="1" x14ac:dyDescent="0.2">
      <c r="A190" s="56"/>
      <c r="C190" s="56"/>
      <c r="D190" s="56"/>
      <c r="E190" s="56"/>
      <c r="F190" s="56"/>
      <c r="G190" s="56"/>
      <c r="H190" s="56"/>
      <c r="I190" s="56"/>
      <c r="J190" s="56"/>
      <c r="K190" s="56"/>
      <c r="L190" s="56"/>
      <c r="M190" s="56"/>
      <c r="N190" s="56"/>
      <c r="O190" s="56"/>
      <c r="P190" s="56"/>
      <c r="Q190" s="56"/>
      <c r="R190" s="56"/>
      <c r="S190" s="56"/>
      <c r="T190" s="56"/>
      <c r="U190" s="56"/>
      <c r="V190" s="56"/>
      <c r="W190" s="323"/>
    </row>
    <row r="191" spans="1:23" x14ac:dyDescent="0.2">
      <c r="A191" s="56"/>
      <c r="C191" s="56"/>
      <c r="D191" s="56"/>
      <c r="E191" s="56"/>
      <c r="F191" s="56"/>
      <c r="G191" s="56"/>
      <c r="H191" s="56"/>
      <c r="I191" s="56"/>
      <c r="J191" s="56"/>
      <c r="K191" s="56"/>
      <c r="L191" s="56"/>
      <c r="M191" s="56"/>
      <c r="N191" s="56"/>
      <c r="O191" s="56"/>
      <c r="P191" s="56"/>
      <c r="Q191" s="56"/>
      <c r="R191" s="56"/>
      <c r="S191" s="56"/>
      <c r="T191" s="56"/>
      <c r="U191" s="56"/>
      <c r="V191" s="56"/>
      <c r="W191" s="323"/>
    </row>
    <row r="192" spans="1:23" x14ac:dyDescent="0.2">
      <c r="A192" s="56"/>
      <c r="C192" s="56"/>
      <c r="D192" s="56"/>
      <c r="E192" s="56"/>
      <c r="F192" s="56"/>
      <c r="G192" s="56"/>
      <c r="H192" s="56"/>
      <c r="I192" s="56"/>
      <c r="J192" s="56"/>
      <c r="K192" s="56"/>
      <c r="L192" s="56"/>
      <c r="M192" s="56"/>
      <c r="N192" s="56"/>
      <c r="O192" s="56"/>
      <c r="P192" s="56"/>
      <c r="Q192" s="56"/>
      <c r="R192" s="56"/>
      <c r="S192" s="56"/>
      <c r="T192" s="56"/>
      <c r="U192" s="56"/>
      <c r="V192" s="56"/>
      <c r="W192" s="323"/>
    </row>
  </sheetData>
  <mergeCells count="2">
    <mergeCell ref="A1:B1"/>
    <mergeCell ref="A2:B2"/>
  </mergeCells>
  <pageMargins left="0.7" right="0.7" top="0.75" bottom="0.75" header="0.3" footer="0.3"/>
  <pageSetup paperSize="9" orientation="portrait" horizontalDpi="0" verticalDpi="0"/>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1569-4BBF-054F-A254-B0FE52591B04}">
  <dimension ref="A1:AE99"/>
  <sheetViews>
    <sheetView showGridLines="0" zoomScale="70" zoomScaleNormal="70" workbookViewId="0">
      <pane xSplit="3" ySplit="5" topLeftCell="D6" activePane="bottomRight" state="frozen"/>
      <selection pane="topRight" activeCell="D1" sqref="D1"/>
      <selection pane="bottomLeft" activeCell="A6" sqref="A6"/>
      <selection pane="bottomRight" activeCell="U23" sqref="U23"/>
    </sheetView>
  </sheetViews>
  <sheetFormatPr baseColWidth="10" defaultColWidth="8.83203125" defaultRowHeight="16" x14ac:dyDescent="0.2"/>
  <cols>
    <col min="1" max="1" width="44" customWidth="1"/>
    <col min="2" max="2" width="14" customWidth="1"/>
    <col min="3" max="3" width="12" customWidth="1"/>
    <col min="4" max="18" width="14" customWidth="1"/>
    <col min="20" max="20" width="22" bestFit="1" customWidth="1"/>
    <col min="21" max="21" width="9" customWidth="1"/>
    <col min="22" max="24" width="9" bestFit="1" customWidth="1"/>
    <col min="25" max="30" width="10.1640625" bestFit="1" customWidth="1"/>
  </cols>
  <sheetData>
    <row r="1" spans="1:18" s="141" customFormat="1" ht="144" customHeight="1" x14ac:dyDescent="0.2">
      <c r="A1" s="268" t="s">
        <v>105</v>
      </c>
      <c r="B1" s="268"/>
      <c r="C1" s="268"/>
      <c r="D1" s="268"/>
      <c r="E1" s="268"/>
      <c r="F1" s="268"/>
      <c r="G1" s="268"/>
      <c r="H1" s="268"/>
      <c r="I1" s="268"/>
      <c r="J1" s="268"/>
      <c r="K1" s="268"/>
      <c r="L1" s="268"/>
      <c r="M1" s="268"/>
      <c r="N1" s="268"/>
      <c r="O1" s="268"/>
      <c r="P1" s="268"/>
      <c r="Q1" s="268"/>
      <c r="R1" s="268"/>
    </row>
    <row r="2" spans="1:18" s="141" customFormat="1" ht="19" x14ac:dyDescent="0.25">
      <c r="A2" s="269" t="s">
        <v>308</v>
      </c>
      <c r="B2" s="270"/>
      <c r="C2" s="270"/>
      <c r="D2" s="270"/>
      <c r="E2" s="270"/>
      <c r="F2" s="270"/>
      <c r="G2" s="270"/>
      <c r="H2" s="270"/>
      <c r="I2" s="271"/>
      <c r="J2" s="270"/>
      <c r="K2" s="270"/>
      <c r="L2" s="270"/>
      <c r="M2" s="270"/>
      <c r="N2" s="270"/>
      <c r="O2" s="270"/>
      <c r="P2" s="270"/>
      <c r="Q2" s="270"/>
      <c r="R2" s="270"/>
    </row>
    <row r="3" spans="1:18" x14ac:dyDescent="0.2">
      <c r="I3" s="131"/>
    </row>
    <row r="4" spans="1:18" x14ac:dyDescent="0.2">
      <c r="A4" s="132" t="s">
        <v>0</v>
      </c>
      <c r="B4" s="132" t="s">
        <v>280</v>
      </c>
      <c r="C4" s="132" t="s">
        <v>108</v>
      </c>
      <c r="D4" s="132" t="s">
        <v>6</v>
      </c>
      <c r="E4" s="132" t="s">
        <v>5</v>
      </c>
      <c r="F4" s="132" t="s">
        <v>4</v>
      </c>
      <c r="G4" s="132" t="s">
        <v>3</v>
      </c>
      <c r="H4" s="132" t="s">
        <v>2</v>
      </c>
      <c r="I4" s="133" t="s">
        <v>281</v>
      </c>
      <c r="J4" s="132" t="s">
        <v>282</v>
      </c>
      <c r="K4" s="132" t="s">
        <v>283</v>
      </c>
      <c r="L4" s="132" t="s">
        <v>284</v>
      </c>
      <c r="M4" s="132" t="s">
        <v>285</v>
      </c>
      <c r="N4" s="132" t="s">
        <v>286</v>
      </c>
      <c r="O4" s="132" t="s">
        <v>287</v>
      </c>
      <c r="P4" s="132" t="s">
        <v>288</v>
      </c>
      <c r="Q4" s="132" t="s">
        <v>289</v>
      </c>
      <c r="R4" s="132" t="s">
        <v>290</v>
      </c>
    </row>
    <row r="5" spans="1:18" x14ac:dyDescent="0.2">
      <c r="D5" s="134" t="s">
        <v>109</v>
      </c>
      <c r="E5" s="134" t="s">
        <v>109</v>
      </c>
      <c r="F5" s="134" t="s">
        <v>109</v>
      </c>
      <c r="G5" s="134" t="s">
        <v>109</v>
      </c>
      <c r="H5" s="134" t="s">
        <v>109</v>
      </c>
      <c r="I5" s="135" t="s">
        <v>103</v>
      </c>
      <c r="J5" s="136" t="s">
        <v>103</v>
      </c>
      <c r="K5" s="136" t="s">
        <v>103</v>
      </c>
      <c r="L5" s="136" t="s">
        <v>103</v>
      </c>
      <c r="M5" s="136" t="s">
        <v>103</v>
      </c>
      <c r="N5" s="136" t="s">
        <v>103</v>
      </c>
      <c r="O5" s="136" t="s">
        <v>103</v>
      </c>
      <c r="P5" s="136" t="s">
        <v>103</v>
      </c>
      <c r="Q5" s="136" t="s">
        <v>103</v>
      </c>
      <c r="R5" s="136" t="s">
        <v>103</v>
      </c>
    </row>
    <row r="6" spans="1:18" x14ac:dyDescent="0.2">
      <c r="I6" s="131"/>
    </row>
    <row r="7" spans="1:18" s="145" customFormat="1" ht="13" x14ac:dyDescent="0.15">
      <c r="A7" s="149" t="s">
        <v>291</v>
      </c>
    </row>
    <row r="8" spans="1:18" x14ac:dyDescent="0.2">
      <c r="A8" s="137" t="s">
        <v>49</v>
      </c>
      <c r="B8" s="138" t="s">
        <v>118</v>
      </c>
      <c r="D8" s="139">
        <f>'Income Statement-Historic'!C12</f>
        <v>1018576</v>
      </c>
      <c r="E8" s="139">
        <f>'Income Statement-Historic'!D12</f>
        <v>1312392</v>
      </c>
      <c r="F8" s="139">
        <f>'Income Statement-Historic'!E12</f>
        <v>1665109</v>
      </c>
      <c r="G8" s="139">
        <f>'Income Statement-Historic'!F12</f>
        <v>1837953</v>
      </c>
      <c r="H8" s="139">
        <f>'Income Statement-Historic'!G12</f>
        <v>1940854</v>
      </c>
      <c r="I8" s="140">
        <f>'Working '!M17</f>
        <v>2076713.78</v>
      </c>
      <c r="J8" s="140">
        <f>'Working '!N17</f>
        <v>2222083.7446000003</v>
      </c>
      <c r="K8" s="140">
        <f>'Working '!O17</f>
        <v>2366519.1879990003</v>
      </c>
      <c r="L8" s="140">
        <f>'Working '!P17</f>
        <v>2520342.9352189354</v>
      </c>
      <c r="M8" s="140">
        <f>'Working '!Q17</f>
        <v>2671563.5113320719</v>
      </c>
      <c r="N8" s="140">
        <f>'Working '!R17</f>
        <v>2831857.3220119965</v>
      </c>
      <c r="O8" s="140">
        <f>'Working '!S17</f>
        <v>2987609.474722656</v>
      </c>
      <c r="P8" s="140">
        <f>'Working '!T17</f>
        <v>3151927.9958324018</v>
      </c>
      <c r="Q8" s="140">
        <f>'Working '!U17</f>
        <v>3309524.395624022</v>
      </c>
      <c r="R8" s="140">
        <f>'Working '!V17</f>
        <v>3475000.6154052233</v>
      </c>
    </row>
    <row r="9" spans="1:18" x14ac:dyDescent="0.2">
      <c r="A9" s="137" t="s">
        <v>51</v>
      </c>
      <c r="B9" s="138" t="s">
        <v>118</v>
      </c>
      <c r="D9" s="139">
        <f>'Income Statement-Historic'!C13</f>
        <v>5025</v>
      </c>
      <c r="E9" s="139">
        <f>'Income Statement-Historic'!D13</f>
        <v>2979</v>
      </c>
      <c r="F9" s="139">
        <f>'Income Statement-Historic'!E13</f>
        <v>4943</v>
      </c>
      <c r="G9" s="139">
        <f>'Income Statement-Historic'!F13</f>
        <v>7374</v>
      </c>
      <c r="H9" s="139">
        <f>'Income Statement-Historic'!G13</f>
        <v>3590</v>
      </c>
      <c r="I9" s="140">
        <f>'Working '!M19</f>
        <v>6659.4424280250187</v>
      </c>
      <c r="J9" s="140">
        <f>'Working '!N19</f>
        <v>7125.6033979867707</v>
      </c>
      <c r="K9" s="140">
        <f>'Working '!O19</f>
        <v>7588.7676188559108</v>
      </c>
      <c r="L9" s="140">
        <f>'Working '!P19</f>
        <v>8082.0375140815449</v>
      </c>
      <c r="M9" s="140">
        <f>'Working '!Q19</f>
        <v>8566.9597649264397</v>
      </c>
      <c r="N9" s="140">
        <f>'Working '!R19</f>
        <v>9080.977350822026</v>
      </c>
      <c r="O9" s="140">
        <f>'Working '!S19</f>
        <v>9580.4311051172372</v>
      </c>
      <c r="P9" s="140">
        <f>'Working '!T19</f>
        <v>10107.354815898685</v>
      </c>
      <c r="Q9" s="140">
        <f>'Working '!U19</f>
        <v>10612.722556693619</v>
      </c>
      <c r="R9" s="140">
        <f>'Working '!V19</f>
        <v>11143.358684528301</v>
      </c>
    </row>
    <row r="10" spans="1:18" x14ac:dyDescent="0.2">
      <c r="A10" s="148" t="s">
        <v>53</v>
      </c>
      <c r="B10" s="138" t="s">
        <v>118</v>
      </c>
      <c r="D10" s="143">
        <f>'Income Statement-Historic'!C14</f>
        <v>1023601</v>
      </c>
      <c r="E10" s="143">
        <f>'Income Statement-Historic'!D14</f>
        <v>1315371</v>
      </c>
      <c r="F10" s="143">
        <f>'Income Statement-Historic'!E14</f>
        <v>1670052</v>
      </c>
      <c r="G10" s="143">
        <f>'Income Statement-Historic'!F14</f>
        <v>1845327</v>
      </c>
      <c r="H10" s="143">
        <f>'Income Statement-Historic'!G14</f>
        <v>1944444</v>
      </c>
      <c r="I10" s="146">
        <f t="shared" ref="I10:R10" si="0">SUM(I8:I9)</f>
        <v>2083373.222428025</v>
      </c>
      <c r="J10" s="146">
        <f t="shared" si="0"/>
        <v>2229209.3479979872</v>
      </c>
      <c r="K10" s="146">
        <f t="shared" si="0"/>
        <v>2374107.9556178562</v>
      </c>
      <c r="L10" s="146">
        <f t="shared" si="0"/>
        <v>2528424.9727330171</v>
      </c>
      <c r="M10" s="146">
        <f t="shared" si="0"/>
        <v>2680130.4710969981</v>
      </c>
      <c r="N10" s="146">
        <f t="shared" si="0"/>
        <v>2840938.2993628187</v>
      </c>
      <c r="O10" s="146">
        <f t="shared" si="0"/>
        <v>2997189.9058277733</v>
      </c>
      <c r="P10" s="146">
        <f t="shared" si="0"/>
        <v>3162035.3506483003</v>
      </c>
      <c r="Q10" s="146">
        <f t="shared" si="0"/>
        <v>3320137.1181807155</v>
      </c>
      <c r="R10" s="146">
        <f t="shared" si="0"/>
        <v>3486143.9740897515</v>
      </c>
    </row>
    <row r="11" spans="1:18" x14ac:dyDescent="0.2">
      <c r="A11" s="137" t="s">
        <v>55</v>
      </c>
      <c r="B11" s="138" t="s">
        <v>118</v>
      </c>
      <c r="D11" s="139">
        <f>'Income Statement-Historic'!C17</f>
        <v>196516</v>
      </c>
      <c r="E11" s="139">
        <f>'Income Statement-Historic'!D17</f>
        <v>270729</v>
      </c>
      <c r="F11" s="139">
        <f>'Income Statement-Historic'!E17</f>
        <v>422476</v>
      </c>
      <c r="G11" s="139">
        <f>'Income Statement-Historic'!F17</f>
        <v>456755</v>
      </c>
      <c r="H11" s="139">
        <f>'Income Statement-Historic'!G17</f>
        <v>493673</v>
      </c>
      <c r="I11" s="140">
        <f>'Working '!M25</f>
        <v>480058.57485042565</v>
      </c>
      <c r="J11" s="140">
        <f>'Working '!N25</f>
        <v>503389.42158815637</v>
      </c>
      <c r="K11" s="140">
        <f>'Working '!O25</f>
        <v>509304.24729181721</v>
      </c>
      <c r="L11" s="140">
        <f>'Working '!P25</f>
        <v>520712.66243115388</v>
      </c>
      <c r="M11" s="140">
        <f>'Working '!Q25</f>
        <v>529877.20528994233</v>
      </c>
      <c r="N11" s="140">
        <f>'Working '!R25</f>
        <v>539203.04410304537</v>
      </c>
      <c r="O11" s="140">
        <f>'Working '!S25</f>
        <v>568859.21152871277</v>
      </c>
      <c r="P11" s="140">
        <f>'Working '!T25</f>
        <v>600146.46816279192</v>
      </c>
      <c r="Q11" s="140">
        <f>'Working '!U25</f>
        <v>630153.79157093156</v>
      </c>
      <c r="R11" s="140">
        <f>'Working '!V25</f>
        <v>661661.48114947812</v>
      </c>
    </row>
    <row r="12" spans="1:18" x14ac:dyDescent="0.2">
      <c r="A12" s="137" t="s">
        <v>57</v>
      </c>
      <c r="B12" s="138" t="s">
        <v>118</v>
      </c>
      <c r="D12" s="139">
        <f>'Income Statement-Historic'!C18</f>
        <v>7371</v>
      </c>
      <c r="E12" s="139">
        <f>'Income Statement-Historic'!D18</f>
        <v>19582</v>
      </c>
      <c r="F12" s="139">
        <f>'Income Statement-Historic'!E18</f>
        <v>9247</v>
      </c>
      <c r="G12" s="139">
        <f>'Income Statement-Historic'!F18</f>
        <v>11825</v>
      </c>
      <c r="H12" s="139">
        <f>'Income Statement-Historic'!G18</f>
        <v>18174</v>
      </c>
      <c r="I12" s="140">
        <f>'Working '!M27</f>
        <v>18070.947624767105</v>
      </c>
      <c r="J12" s="140">
        <f>'Working '!N27</f>
        <v>19335.913958500802</v>
      </c>
      <c r="K12" s="140">
        <f>'Working '!O27</f>
        <v>20592.748365803356</v>
      </c>
      <c r="L12" s="140">
        <f>'Working '!P27</f>
        <v>21931.277009580572</v>
      </c>
      <c r="M12" s="140">
        <f>'Working '!Q27</f>
        <v>23247.153630155412</v>
      </c>
      <c r="N12" s="140">
        <f>'Working '!R27</f>
        <v>24641.98284796474</v>
      </c>
      <c r="O12" s="140">
        <f>'Working '!S27</f>
        <v>25997.291904602796</v>
      </c>
      <c r="P12" s="140">
        <f>'Working '!T27</f>
        <v>27427.142959355948</v>
      </c>
      <c r="Q12" s="140">
        <f>'Working '!U27</f>
        <v>28798.500107323747</v>
      </c>
      <c r="R12" s="140">
        <f>'Working '!V27</f>
        <v>30238.425112689936</v>
      </c>
    </row>
    <row r="13" spans="1:18" x14ac:dyDescent="0.2">
      <c r="A13" s="137" t="s">
        <v>292</v>
      </c>
      <c r="B13" s="138" t="s">
        <v>118</v>
      </c>
      <c r="D13" s="144">
        <f>'Income Statement-Historic'!C19</f>
        <v>-950</v>
      </c>
      <c r="E13" s="144">
        <f>'Income Statement-Historic'!D19</f>
        <v>2301</v>
      </c>
      <c r="F13" s="144">
        <f>'Income Statement-Historic'!E19</f>
        <v>-5187</v>
      </c>
      <c r="G13" s="144">
        <f>'Income Statement-Historic'!F19</f>
        <v>-3345</v>
      </c>
      <c r="H13" s="144">
        <f>'Income Statement-Historic'!G19</f>
        <v>-4996</v>
      </c>
      <c r="I13" s="147">
        <f>'Working '!M29</f>
        <v>-5345.7199999999993</v>
      </c>
      <c r="J13" s="147">
        <f>'Working '!N29</f>
        <v>-5719.9204000000009</v>
      </c>
      <c r="K13" s="147">
        <f>'Working '!O29</f>
        <v>-6091.7152260000003</v>
      </c>
      <c r="L13" s="147">
        <f>'Working '!P29</f>
        <v>-6487.6767156900005</v>
      </c>
      <c r="M13" s="147">
        <f>'Working '!Q29</f>
        <v>-6876.9373186314015</v>
      </c>
      <c r="N13" s="147">
        <f>'Working '!R29</f>
        <v>-7289.5535577492865</v>
      </c>
      <c r="O13" s="147">
        <f>'Working '!S29</f>
        <v>-7690.4790034254966</v>
      </c>
      <c r="P13" s="147">
        <f>'Working '!T29</f>
        <v>-8113.4553486138984</v>
      </c>
      <c r="Q13" s="147">
        <f>'Working '!U29</f>
        <v>-8519.1281160445924</v>
      </c>
      <c r="R13" s="147">
        <f>'Working '!V29</f>
        <v>-8945.0845218468239</v>
      </c>
    </row>
    <row r="14" spans="1:18" x14ac:dyDescent="0.2">
      <c r="A14" s="137" t="s">
        <v>61</v>
      </c>
      <c r="B14" s="138" t="s">
        <v>118</v>
      </c>
      <c r="D14" s="139">
        <f>'Income Statement-Historic'!C20</f>
        <v>594267</v>
      </c>
      <c r="E14" s="139">
        <f>'Income Statement-Historic'!D20</f>
        <v>728548</v>
      </c>
      <c r="F14" s="139">
        <f>'Income Statement-Historic'!E20</f>
        <v>915117</v>
      </c>
      <c r="G14" s="139">
        <f>'Income Statement-Historic'!F20</f>
        <v>1025685</v>
      </c>
      <c r="H14" s="139">
        <f>'Income Statement-Historic'!G20</f>
        <v>1049345</v>
      </c>
      <c r="I14" s="140">
        <f>'Working '!M31</f>
        <v>1157503.2558156415</v>
      </c>
      <c r="J14" s="140">
        <f>'Working '!N31</f>
        <v>1238528.4837227366</v>
      </c>
      <c r="K14" s="140">
        <f>'Working '!O31</f>
        <v>1305842.5068130672</v>
      </c>
      <c r="L14" s="140">
        <f>'Working '!P31</f>
        <v>1376815.0470583574</v>
      </c>
      <c r="M14" s="140">
        <f>'Working '!Q31</f>
        <v>1444829.7103830406</v>
      </c>
      <c r="N14" s="140">
        <f>'Working '!R31</f>
        <v>1516204.2980759633</v>
      </c>
      <c r="O14" s="140">
        <f>'Working '!S31</f>
        <v>1583599.5791254395</v>
      </c>
      <c r="P14" s="140">
        <f>'Working '!T31</f>
        <v>1653990.5804175651</v>
      </c>
      <c r="Q14" s="140">
        <f>'Working '!U31</f>
        <v>1719323.2083440591</v>
      </c>
      <c r="R14" s="140">
        <f>'Working '!V31</f>
        <v>1787236.4750736495</v>
      </c>
    </row>
    <row r="15" spans="1:18" x14ac:dyDescent="0.2">
      <c r="A15" s="137" t="s">
        <v>62</v>
      </c>
      <c r="B15" s="138" t="s">
        <v>118</v>
      </c>
      <c r="D15" s="139">
        <f>'Income Statement-Historic'!C21</f>
        <v>48549</v>
      </c>
      <c r="E15" s="139">
        <f>'Income Statement-Historic'!D21</f>
        <v>52312</v>
      </c>
      <c r="F15" s="139">
        <f>'Income Statement-Historic'!E21</f>
        <v>41183</v>
      </c>
      <c r="G15" s="139">
        <f>'Income Statement-Historic'!F21</f>
        <v>45210</v>
      </c>
      <c r="H15" s="139">
        <f>'Income Statement-Historic'!G21</f>
        <v>52180</v>
      </c>
      <c r="I15" s="140">
        <f>'Working '!M36</f>
        <v>68008.076607814466</v>
      </c>
      <c r="J15" s="140">
        <f>'Working '!N36</f>
        <v>72768.641970361496</v>
      </c>
      <c r="K15" s="140">
        <f>'Working '!O36</f>
        <v>77498.603698434992</v>
      </c>
      <c r="L15" s="140">
        <f>'Working '!P36</f>
        <v>82536.012938833272</v>
      </c>
      <c r="M15" s="140">
        <f>'Working '!Q36</f>
        <v>87488.17371516327</v>
      </c>
      <c r="N15" s="140">
        <f>'Working '!R36</f>
        <v>92737.464138073075</v>
      </c>
      <c r="O15" s="140">
        <f>'Working '!S36</f>
        <v>97838.024665667093</v>
      </c>
      <c r="P15" s="140">
        <f>'Working '!T36</f>
        <v>103219.11602227877</v>
      </c>
      <c r="Q15" s="140">
        <f>'Working '!U36</f>
        <v>108380.07182339272</v>
      </c>
      <c r="R15" s="140">
        <f>'Working '!V36</f>
        <v>113799.07541456235</v>
      </c>
    </row>
    <row r="16" spans="1:18" x14ac:dyDescent="0.2">
      <c r="A16" s="137" t="s">
        <v>64</v>
      </c>
      <c r="B16" s="138" t="s">
        <v>118</v>
      </c>
      <c r="D16" s="139" t="str">
        <f>'Income Statement-Historic'!C22</f>
        <v>—</v>
      </c>
      <c r="E16" s="139" t="str">
        <f>'Income Statement-Historic'!D22</f>
        <v>—</v>
      </c>
      <c r="F16" s="139">
        <f>'Income Statement-Historic'!E22</f>
        <v>18368</v>
      </c>
      <c r="G16" s="139">
        <f>'Income Statement-Historic'!F22</f>
        <v>19525</v>
      </c>
      <c r="H16" s="139">
        <f>'Income Statement-Historic'!G22</f>
        <v>19666</v>
      </c>
      <c r="I16" s="140">
        <f>'Working '!M38</f>
        <v>22004.162827796914</v>
      </c>
      <c r="J16" s="140">
        <f>'Working '!N38</f>
        <v>23544.454225742698</v>
      </c>
      <c r="K16" s="140">
        <f>'Working '!O38</f>
        <v>25074.843750415974</v>
      </c>
      <c r="L16" s="140">
        <f>'Working '!P38</f>
        <v>26704.708594193013</v>
      </c>
      <c r="M16" s="140">
        <f>'Working '!Q38</f>
        <v>28306.991109844599</v>
      </c>
      <c r="N16" s="140">
        <f>'Working '!R38</f>
        <v>30005.410576435279</v>
      </c>
      <c r="O16" s="140">
        <f>'Working '!S38</f>
        <v>31655.708158139212</v>
      </c>
      <c r="P16" s="140">
        <f>'Working '!T38</f>
        <v>33396.77210683687</v>
      </c>
      <c r="Q16" s="140">
        <f>'Working '!U38</f>
        <v>35066.610712178714</v>
      </c>
      <c r="R16" s="140">
        <f>'Working '!V38</f>
        <v>36819.941247787654</v>
      </c>
    </row>
    <row r="17" spans="1:30" x14ac:dyDescent="0.2">
      <c r="A17" s="137" t="s">
        <v>65</v>
      </c>
      <c r="B17" s="138" t="s">
        <v>118</v>
      </c>
      <c r="D17" s="139">
        <f>'Income Statement-Historic'!C23</f>
        <v>2267</v>
      </c>
      <c r="E17" s="139">
        <f>'Income Statement-Historic'!D23</f>
        <v>1478</v>
      </c>
      <c r="F17" s="139">
        <f>'Income Statement-Historic'!E23</f>
        <v>464</v>
      </c>
      <c r="G17" s="139">
        <f>'Income Statement-Historic'!F23</f>
        <v>689</v>
      </c>
      <c r="H17" s="139">
        <f>'Income Statement-Historic'!G23</f>
        <v>1286</v>
      </c>
      <c r="I17" s="140">
        <f>'Working '!M45</f>
        <v>1938.8087880708692</v>
      </c>
      <c r="J17" s="140">
        <f>'Working '!N45</f>
        <v>2074.5254032358303</v>
      </c>
      <c r="K17" s="140">
        <f>'Working '!O45</f>
        <v>2209.3695544461593</v>
      </c>
      <c r="L17" s="140">
        <f>'Working '!P45</f>
        <v>2352.9785754851596</v>
      </c>
      <c r="M17" s="140">
        <f>'Working '!Q45</f>
        <v>2494.1572900142696</v>
      </c>
      <c r="N17" s="140">
        <f>'Working '!R45</f>
        <v>2643.8067274151263</v>
      </c>
      <c r="O17" s="140">
        <f>'Working '!S45</f>
        <v>2789.2160974229578</v>
      </c>
      <c r="P17" s="140">
        <f>'Working '!T45</f>
        <v>2942.6229827812203</v>
      </c>
      <c r="Q17" s="140">
        <f>'Working '!U45</f>
        <v>3089.7541319202815</v>
      </c>
      <c r="R17" s="140">
        <f>'Working '!V45</f>
        <v>3244.2418385162955</v>
      </c>
    </row>
    <row r="18" spans="1:30" x14ac:dyDescent="0.2">
      <c r="A18" s="137" t="s">
        <v>67</v>
      </c>
      <c r="B18" s="138" t="s">
        <v>118</v>
      </c>
      <c r="D18" s="139">
        <f>'Income Statement-Historic'!C24</f>
        <v>23201</v>
      </c>
      <c r="E18" s="139">
        <f>'Income Statement-Historic'!D24</f>
        <v>21719</v>
      </c>
      <c r="F18" s="139">
        <f>'Income Statement-Historic'!E24</f>
        <v>21059</v>
      </c>
      <c r="G18" s="139">
        <f>'Income Statement-Historic'!F24</f>
        <v>21190</v>
      </c>
      <c r="H18" s="139">
        <f>'Income Statement-Historic'!G24</f>
        <v>23298</v>
      </c>
      <c r="I18" s="140">
        <f>'Working '!M48</f>
        <v>31361.449178577066</v>
      </c>
      <c r="J18" s="140">
        <f>'Working '!N48</f>
        <v>33556.750621077466</v>
      </c>
      <c r="K18" s="140">
        <f>'Working '!O48</f>
        <v>35737.9394114475</v>
      </c>
      <c r="L18" s="140">
        <f>'Working '!P48</f>
        <v>38060.905473191589</v>
      </c>
      <c r="M18" s="140">
        <f>'Working '!Q48</f>
        <v>40344.559801583091</v>
      </c>
      <c r="N18" s="140">
        <f>'Working '!R48</f>
        <v>42765.233389678084</v>
      </c>
      <c r="O18" s="140">
        <f>'Working '!S48</f>
        <v>45117.321226110369</v>
      </c>
      <c r="P18" s="140">
        <f>'Working '!T48</f>
        <v>47598.773893546437</v>
      </c>
      <c r="Q18" s="140">
        <f>'Working '!U48</f>
        <v>49978.71258822376</v>
      </c>
      <c r="R18" s="140">
        <f>'Working '!V48</f>
        <v>52477.648217634953</v>
      </c>
    </row>
    <row r="19" spans="1:30" x14ac:dyDescent="0.2">
      <c r="A19" s="137" t="s">
        <v>69</v>
      </c>
      <c r="B19" s="138" t="s">
        <v>118</v>
      </c>
      <c r="D19" s="139">
        <f>'Income Statement-Historic'!C25</f>
        <v>134717</v>
      </c>
      <c r="E19" s="139">
        <f>'Income Statement-Historic'!D25</f>
        <v>169258</v>
      </c>
      <c r="F19" s="139">
        <f>'Income Statement-Historic'!E25</f>
        <v>202282</v>
      </c>
      <c r="G19" s="139">
        <f>'Income Statement-Historic'!F25</f>
        <v>212679</v>
      </c>
      <c r="H19" s="139">
        <f>'Income Statement-Historic'!G25</f>
        <v>228731</v>
      </c>
      <c r="I19" s="140">
        <f>'Working '!M42</f>
        <v>255966.52275715757</v>
      </c>
      <c r="J19" s="140">
        <f>'Working '!N42</f>
        <v>273884.17935015861</v>
      </c>
      <c r="K19" s="140">
        <f>'Working '!O42</f>
        <v>288769.78449783975</v>
      </c>
      <c r="L19" s="140">
        <f>'Working '!P42</f>
        <v>304464.42228529736</v>
      </c>
      <c r="M19" s="140">
        <f>'Working '!Q42</f>
        <v>319504.96474619111</v>
      </c>
      <c r="N19" s="140">
        <f>'Working '!R42</f>
        <v>335288.51000465296</v>
      </c>
      <c r="O19" s="140">
        <f>'Working '!S42</f>
        <v>343117.49671326159</v>
      </c>
      <c r="P19" s="140">
        <f>'Working '!T42</f>
        <v>351129.29026151617</v>
      </c>
      <c r="Q19" s="140">
        <f>'Working '!U42</f>
        <v>357625.18213135423</v>
      </c>
      <c r="R19" s="140">
        <f>'Working '!V42</f>
        <v>364241.24800078425</v>
      </c>
    </row>
    <row r="20" spans="1:30" x14ac:dyDescent="0.2">
      <c r="A20" s="148" t="s">
        <v>71</v>
      </c>
      <c r="B20" s="138" t="s">
        <v>118</v>
      </c>
      <c r="D20" s="143">
        <f t="shared" ref="D20:R20" si="1">SUM(D11:D19)</f>
        <v>1005938</v>
      </c>
      <c r="E20" s="143">
        <f t="shared" si="1"/>
        <v>1265927</v>
      </c>
      <c r="F20" s="143">
        <f t="shared" si="1"/>
        <v>1625009</v>
      </c>
      <c r="G20" s="143">
        <f t="shared" si="1"/>
        <v>1790213</v>
      </c>
      <c r="H20" s="143">
        <f t="shared" si="1"/>
        <v>1881357</v>
      </c>
      <c r="I20" s="146">
        <f t="shared" si="1"/>
        <v>2029566.0784502514</v>
      </c>
      <c r="J20" s="146">
        <f t="shared" si="1"/>
        <v>2161362.45043997</v>
      </c>
      <c r="K20" s="146">
        <f t="shared" si="1"/>
        <v>2258938.3281572722</v>
      </c>
      <c r="L20" s="146">
        <f t="shared" si="1"/>
        <v>2367090.337650402</v>
      </c>
      <c r="M20" s="146">
        <f t="shared" si="1"/>
        <v>2469215.9786473033</v>
      </c>
      <c r="N20" s="146">
        <f t="shared" si="1"/>
        <v>2576200.1963054785</v>
      </c>
      <c r="O20" s="146">
        <f t="shared" si="1"/>
        <v>2691283.3704159306</v>
      </c>
      <c r="P20" s="146">
        <f t="shared" si="1"/>
        <v>2811737.3114580587</v>
      </c>
      <c r="Q20" s="146">
        <f t="shared" si="1"/>
        <v>2923896.7032933389</v>
      </c>
      <c r="R20" s="146">
        <f t="shared" si="1"/>
        <v>3040773.4515332561</v>
      </c>
    </row>
    <row r="21" spans="1:30" x14ac:dyDescent="0.2">
      <c r="A21" s="148" t="s">
        <v>72</v>
      </c>
      <c r="B21" s="138" t="s">
        <v>118</v>
      </c>
      <c r="D21" s="143">
        <f t="shared" ref="D21:R21" si="2">D10-D20</f>
        <v>17663</v>
      </c>
      <c r="E21" s="143">
        <f t="shared" si="2"/>
        <v>49444</v>
      </c>
      <c r="F21" s="143">
        <f t="shared" si="2"/>
        <v>45043</v>
      </c>
      <c r="G21" s="143">
        <f t="shared" si="2"/>
        <v>55114</v>
      </c>
      <c r="H21" s="143">
        <f t="shared" si="2"/>
        <v>63087</v>
      </c>
      <c r="I21" s="146">
        <f t="shared" si="2"/>
        <v>53807.143977773609</v>
      </c>
      <c r="J21" s="146">
        <f t="shared" si="2"/>
        <v>67846.897558017168</v>
      </c>
      <c r="K21" s="146">
        <f t="shared" si="2"/>
        <v>115169.62746058404</v>
      </c>
      <c r="L21" s="146">
        <f t="shared" si="2"/>
        <v>161334.63508261507</v>
      </c>
      <c r="M21" s="146">
        <f t="shared" si="2"/>
        <v>210914.49244969478</v>
      </c>
      <c r="N21" s="146">
        <f t="shared" si="2"/>
        <v>264738.10305734025</v>
      </c>
      <c r="O21" s="146">
        <f t="shared" si="2"/>
        <v>305906.53541184263</v>
      </c>
      <c r="P21" s="146">
        <f t="shared" si="2"/>
        <v>350298.0391902416</v>
      </c>
      <c r="Q21" s="146">
        <f t="shared" si="2"/>
        <v>396240.4148873766</v>
      </c>
      <c r="R21" s="146">
        <f t="shared" si="2"/>
        <v>445370.52255649539</v>
      </c>
    </row>
    <row r="22" spans="1:30" x14ac:dyDescent="0.2">
      <c r="A22" s="137" t="s">
        <v>73</v>
      </c>
      <c r="B22" s="138" t="s">
        <v>118</v>
      </c>
      <c r="D22" s="144">
        <v>-722</v>
      </c>
      <c r="E22" s="144">
        <v>0</v>
      </c>
      <c r="F22" s="144">
        <v>-3312</v>
      </c>
      <c r="G22" s="144">
        <v>0</v>
      </c>
      <c r="H22" s="144">
        <v>-2576</v>
      </c>
      <c r="I22" s="140">
        <v>0</v>
      </c>
      <c r="J22" s="140">
        <v>0</v>
      </c>
      <c r="K22" s="140">
        <v>0</v>
      </c>
      <c r="L22" s="140">
        <v>0</v>
      </c>
      <c r="M22" s="140">
        <v>0</v>
      </c>
      <c r="N22" s="140">
        <v>0</v>
      </c>
      <c r="O22" s="140">
        <v>0</v>
      </c>
      <c r="P22" s="140">
        <v>0</v>
      </c>
      <c r="Q22" s="140">
        <v>0</v>
      </c>
      <c r="R22" s="140">
        <v>0</v>
      </c>
    </row>
    <row r="23" spans="1:30" x14ac:dyDescent="0.2">
      <c r="A23" s="148" t="s">
        <v>75</v>
      </c>
      <c r="B23" s="138" t="s">
        <v>118</v>
      </c>
      <c r="D23" s="143">
        <f t="shared" ref="D23:R23" si="3">SUM(D21:D22)</f>
        <v>16941</v>
      </c>
      <c r="E23" s="143">
        <f t="shared" si="3"/>
        <v>49444</v>
      </c>
      <c r="F23" s="143">
        <f t="shared" si="3"/>
        <v>41731</v>
      </c>
      <c r="G23" s="143">
        <f t="shared" si="3"/>
        <v>55114</v>
      </c>
      <c r="H23" s="143">
        <f t="shared" si="3"/>
        <v>60511</v>
      </c>
      <c r="I23" s="146">
        <f t="shared" si="3"/>
        <v>53807.143977773609</v>
      </c>
      <c r="J23" s="146">
        <f t="shared" si="3"/>
        <v>67846.897558017168</v>
      </c>
      <c r="K23" s="146">
        <f t="shared" si="3"/>
        <v>115169.62746058404</v>
      </c>
      <c r="L23" s="146">
        <f t="shared" si="3"/>
        <v>161334.63508261507</v>
      </c>
      <c r="M23" s="146">
        <f t="shared" si="3"/>
        <v>210914.49244969478</v>
      </c>
      <c r="N23" s="146">
        <f t="shared" si="3"/>
        <v>264738.10305734025</v>
      </c>
      <c r="O23" s="146">
        <f t="shared" si="3"/>
        <v>305906.53541184263</v>
      </c>
      <c r="P23" s="146">
        <f t="shared" si="3"/>
        <v>350298.0391902416</v>
      </c>
      <c r="Q23" s="146">
        <f t="shared" si="3"/>
        <v>396240.4148873766</v>
      </c>
      <c r="R23" s="146">
        <f t="shared" si="3"/>
        <v>445370.52255649539</v>
      </c>
    </row>
    <row r="24" spans="1:30" x14ac:dyDescent="0.2">
      <c r="A24" s="137" t="s">
        <v>293</v>
      </c>
      <c r="B24" s="138" t="s">
        <v>118</v>
      </c>
      <c r="D24" s="144">
        <f>'Income Statement-Historic'!C35</f>
        <v>-5558</v>
      </c>
      <c r="E24" s="144">
        <f>'Income Statement-Historic'!D35</f>
        <v>-12836</v>
      </c>
      <c r="F24" s="144">
        <f>'Income Statement-Historic'!E35</f>
        <v>-11263</v>
      </c>
      <c r="G24" s="144">
        <f>'Income Statement-Historic'!F35</f>
        <v>-14028</v>
      </c>
      <c r="H24" s="144">
        <f>'Income Statement-Historic'!G35</f>
        <v>-16270</v>
      </c>
      <c r="I24" s="147">
        <f>-I23*Assumptions!$C$107</f>
        <v>-16142.143193332082</v>
      </c>
      <c r="J24" s="147">
        <f>-J23*Assumptions!$C$107</f>
        <v>-20354.06926740515</v>
      </c>
      <c r="K24" s="147">
        <f>-K23*Assumptions!$C$107</f>
        <v>-34550.888238175212</v>
      </c>
      <c r="L24" s="147">
        <f>-L23*Assumptions!$C$107</f>
        <v>-48400.390524784518</v>
      </c>
      <c r="M24" s="147">
        <f>-M23*Assumptions!$C$107</f>
        <v>-63274.347734908428</v>
      </c>
      <c r="N24" s="147">
        <f>-N23*Assumptions!$C$107</f>
        <v>-79421.430917202073</v>
      </c>
      <c r="O24" s="147">
        <f>-O23*Assumptions!$C$107</f>
        <v>-91771.96062355279</v>
      </c>
      <c r="P24" s="147">
        <f>-P23*Assumptions!$C$107</f>
        <v>-105089.41175707248</v>
      </c>
      <c r="Q24" s="147">
        <f>-Q23*Assumptions!$C$107</f>
        <v>-118872.12446621298</v>
      </c>
      <c r="R24" s="147">
        <f>-R23*Assumptions!$C$107</f>
        <v>-133611.15676694861</v>
      </c>
    </row>
    <row r="25" spans="1:30" x14ac:dyDescent="0.2">
      <c r="A25" s="148" t="s">
        <v>81</v>
      </c>
      <c r="B25" s="138" t="s">
        <v>118</v>
      </c>
      <c r="D25" s="143">
        <f t="shared" ref="D25:R25" si="4">SUM(D23:D24)</f>
        <v>11383</v>
      </c>
      <c r="E25" s="143">
        <f t="shared" si="4"/>
        <v>36608</v>
      </c>
      <c r="F25" s="143">
        <f t="shared" si="4"/>
        <v>30468</v>
      </c>
      <c r="G25" s="143">
        <f t="shared" si="4"/>
        <v>41086</v>
      </c>
      <c r="H25" s="143">
        <f t="shared" si="4"/>
        <v>44241</v>
      </c>
      <c r="I25" s="146">
        <f t="shared" si="4"/>
        <v>37665.000784441523</v>
      </c>
      <c r="J25" s="146">
        <f t="shared" si="4"/>
        <v>47492.828290612015</v>
      </c>
      <c r="K25" s="146">
        <f t="shared" si="4"/>
        <v>80618.739222408825</v>
      </c>
      <c r="L25" s="146">
        <f t="shared" si="4"/>
        <v>112934.24455783056</v>
      </c>
      <c r="M25" s="146">
        <f t="shared" si="4"/>
        <v>147640.14471478635</v>
      </c>
      <c r="N25" s="146">
        <f t="shared" si="4"/>
        <v>185316.67214013817</v>
      </c>
      <c r="O25" s="146">
        <f t="shared" si="4"/>
        <v>214134.57478828984</v>
      </c>
      <c r="P25" s="146">
        <f t="shared" si="4"/>
        <v>245208.62743316911</v>
      </c>
      <c r="Q25" s="146">
        <f t="shared" si="4"/>
        <v>277368.29042116361</v>
      </c>
      <c r="R25" s="146">
        <f t="shared" si="4"/>
        <v>311759.36578954675</v>
      </c>
    </row>
    <row r="26" spans="1:30" x14ac:dyDescent="0.2">
      <c r="A26" s="148" t="s">
        <v>335</v>
      </c>
      <c r="B26" s="138" t="s">
        <v>118</v>
      </c>
      <c r="D26" s="143">
        <f t="shared" ref="D26:R26" si="5">D17+D23</f>
        <v>19208</v>
      </c>
      <c r="E26" s="143">
        <f t="shared" si="5"/>
        <v>50922</v>
      </c>
      <c r="F26" s="143">
        <f t="shared" si="5"/>
        <v>42195</v>
      </c>
      <c r="G26" s="143">
        <f t="shared" si="5"/>
        <v>55803</v>
      </c>
      <c r="H26" s="143">
        <f t="shared" si="5"/>
        <v>61797</v>
      </c>
      <c r="I26" s="146">
        <f t="shared" si="5"/>
        <v>55745.952765844479</v>
      </c>
      <c r="J26" s="146">
        <f t="shared" si="5"/>
        <v>69921.422961253003</v>
      </c>
      <c r="K26" s="146">
        <f t="shared" si="5"/>
        <v>117378.99701503021</v>
      </c>
      <c r="L26" s="146">
        <f t="shared" si="5"/>
        <v>163687.61365810022</v>
      </c>
      <c r="M26" s="146">
        <f t="shared" si="5"/>
        <v>213408.64973970904</v>
      </c>
      <c r="N26" s="146">
        <f t="shared" si="5"/>
        <v>267381.90978475538</v>
      </c>
      <c r="O26" s="146">
        <f t="shared" si="5"/>
        <v>308695.75150926557</v>
      </c>
      <c r="P26" s="146">
        <f t="shared" si="5"/>
        <v>353240.66217302281</v>
      </c>
      <c r="Q26" s="146">
        <f t="shared" si="5"/>
        <v>399330.16901929688</v>
      </c>
      <c r="R26" s="146">
        <f t="shared" si="5"/>
        <v>448614.76439501171</v>
      </c>
    </row>
    <row r="28" spans="1:30" s="145" customFormat="1" ht="13" x14ac:dyDescent="0.15">
      <c r="A28" s="149" t="s">
        <v>178</v>
      </c>
    </row>
    <row r="29" spans="1:30" x14ac:dyDescent="0.2">
      <c r="A29" s="137" t="s">
        <v>25</v>
      </c>
      <c r="B29" s="138" t="s">
        <v>118</v>
      </c>
      <c r="D29" s="139">
        <f>'Working '!H154</f>
        <v>40940</v>
      </c>
      <c r="E29" s="139">
        <f>'Working '!I154</f>
        <v>86260</v>
      </c>
      <c r="F29" s="139">
        <f>'Working '!J154</f>
        <v>32986</v>
      </c>
      <c r="G29" s="139">
        <f>'Working '!K154</f>
        <v>12915</v>
      </c>
      <c r="H29" s="139">
        <f>'Working '!L154</f>
        <v>34192</v>
      </c>
      <c r="I29" s="140">
        <f>I99</f>
        <v>61133.118861259456</v>
      </c>
      <c r="J29" s="140">
        <f t="shared" ref="J29:R29" si="6">J99</f>
        <v>69306.31359131803</v>
      </c>
      <c r="K29" s="140">
        <f t="shared" si="6"/>
        <v>93794.650816916954</v>
      </c>
      <c r="L29" s="140">
        <f t="shared" si="6"/>
        <v>131703.50115284516</v>
      </c>
      <c r="M29" s="140">
        <f t="shared" si="6"/>
        <v>184905.32349633172</v>
      </c>
      <c r="N29" s="140">
        <f t="shared" si="6"/>
        <v>252426.40093994667</v>
      </c>
      <c r="O29" s="140">
        <f t="shared" si="6"/>
        <v>341863.57157785632</v>
      </c>
      <c r="P29" s="140">
        <f t="shared" si="6"/>
        <v>442676.8606624353</v>
      </c>
      <c r="Q29" s="140">
        <f t="shared" si="6"/>
        <v>560953.05994399707</v>
      </c>
      <c r="R29" s="140">
        <f t="shared" si="6"/>
        <v>694373.04852137319</v>
      </c>
      <c r="T29" s="9"/>
      <c r="U29" s="9"/>
      <c r="V29" s="9"/>
      <c r="W29" s="9"/>
      <c r="X29" s="9"/>
      <c r="Y29" s="9"/>
      <c r="Z29" s="9"/>
      <c r="AA29" s="9"/>
      <c r="AB29" s="9"/>
      <c r="AC29" s="9"/>
      <c r="AD29" s="9"/>
    </row>
    <row r="30" spans="1:30" x14ac:dyDescent="0.2">
      <c r="A30" s="137"/>
      <c r="B30" s="138"/>
      <c r="D30" s="139"/>
      <c r="E30" s="139"/>
      <c r="F30" s="139"/>
      <c r="G30" s="139"/>
      <c r="H30" s="139"/>
      <c r="I30" s="140"/>
      <c r="J30" s="140"/>
      <c r="K30" s="140"/>
      <c r="L30" s="140"/>
      <c r="M30" s="140"/>
      <c r="N30" s="140"/>
      <c r="O30" s="140"/>
      <c r="P30" s="140"/>
      <c r="Q30" s="140"/>
      <c r="R30" s="140"/>
      <c r="T30" s="56"/>
      <c r="U30" s="16"/>
      <c r="V30" s="16"/>
      <c r="W30" s="16"/>
      <c r="X30" s="16"/>
      <c r="Y30" s="16"/>
      <c r="Z30" s="16"/>
      <c r="AA30" s="16"/>
      <c r="AB30" s="16"/>
      <c r="AC30" s="16"/>
      <c r="AD30" s="16"/>
    </row>
    <row r="31" spans="1:30" x14ac:dyDescent="0.2">
      <c r="A31" s="137" t="s">
        <v>24</v>
      </c>
      <c r="B31" s="138" t="s">
        <v>118</v>
      </c>
      <c r="D31" s="139">
        <f>'Balance Sheet- Historic'!C21</f>
        <v>139499</v>
      </c>
      <c r="E31" s="139">
        <f>'Balance Sheet- Historic'!D21</f>
        <v>125486</v>
      </c>
      <c r="F31" s="139">
        <f>'Balance Sheet- Historic'!E21</f>
        <v>140732</v>
      </c>
      <c r="G31" s="139">
        <f>'Balance Sheet- Historic'!F21</f>
        <v>231384</v>
      </c>
      <c r="H31" s="139">
        <f>'Balance Sheet- Historic'!G21</f>
        <v>286063</v>
      </c>
      <c r="I31" s="140">
        <f>'Working '!M70</f>
        <v>245349.93399853565</v>
      </c>
      <c r="J31" s="140">
        <f>'Working '!N70</f>
        <v>262524.42937843315</v>
      </c>
      <c r="K31" s="140">
        <f>'Working '!O70</f>
        <v>278824.61423533177</v>
      </c>
      <c r="L31" s="140">
        <f>'Working '!P70</f>
        <v>297761.77091175335</v>
      </c>
      <c r="M31" s="140">
        <f>'Working '!Q70</f>
        <v>315627.47716645862</v>
      </c>
      <c r="N31" s="140">
        <f>'Working '!R70</f>
        <v>334565.12579644617</v>
      </c>
      <c r="O31" s="140">
        <f>'Working '!S70</f>
        <v>352001.81916958059</v>
      </c>
      <c r="P31" s="140">
        <f>'Working '!T70</f>
        <v>372379.34913958941</v>
      </c>
      <c r="Q31" s="140">
        <f>'Working '!U70</f>
        <v>390998.31659656885</v>
      </c>
      <c r="R31" s="140">
        <f>'Working '!V70</f>
        <v>410548.23242639739</v>
      </c>
      <c r="T31" s="8"/>
      <c r="U31" s="3"/>
      <c r="V31" s="3"/>
      <c r="W31" s="3"/>
      <c r="X31" s="3"/>
      <c r="Y31" s="3"/>
      <c r="Z31" s="3"/>
      <c r="AA31" s="3"/>
      <c r="AB31" s="3"/>
      <c r="AC31" s="3"/>
      <c r="AD31" s="3"/>
    </row>
    <row r="32" spans="1:30" x14ac:dyDescent="0.2">
      <c r="A32" s="137" t="s">
        <v>23</v>
      </c>
      <c r="B32" s="138" t="s">
        <v>118</v>
      </c>
      <c r="D32" s="139">
        <f>'Balance Sheet- Historic'!C20</f>
        <v>113668</v>
      </c>
      <c r="E32" s="139">
        <f>'Balance Sheet- Historic'!D20</f>
        <v>93581</v>
      </c>
      <c r="F32" s="139">
        <f>'Balance Sheet- Historic'!E20</f>
        <v>142781</v>
      </c>
      <c r="G32" s="139">
        <f>'Balance Sheet- Historic'!F20</f>
        <v>136874</v>
      </c>
      <c r="H32" s="139">
        <f>'Balance Sheet- Historic'!G20</f>
        <v>161643</v>
      </c>
      <c r="I32" s="140">
        <f>'Working '!M76</f>
        <v>180220.79737319535</v>
      </c>
      <c r="J32" s="140">
        <f>'Working '!N76</f>
        <v>189079.12089639143</v>
      </c>
      <c r="K32" s="140">
        <f>'Working '!O76</f>
        <v>191042.56203977452</v>
      </c>
      <c r="L32" s="140">
        <f>'Working '!P76</f>
        <v>196082.96518594321</v>
      </c>
      <c r="M32" s="140">
        <f>'Working '!Q76</f>
        <v>199773.50186753366</v>
      </c>
      <c r="N32" s="140">
        <f>'Working '!R76</f>
        <v>203543.36058437926</v>
      </c>
      <c r="O32" s="140">
        <f>'Working '!S76</f>
        <v>214151.52889898862</v>
      </c>
      <c r="P32" s="140">
        <f>'Working '!T76</f>
        <v>226548.84891442864</v>
      </c>
      <c r="Q32" s="140">
        <f>'Working '!U76</f>
        <v>237876.29136015012</v>
      </c>
      <c r="R32" s="140">
        <f>'Working '!V76</f>
        <v>249770.1059281576</v>
      </c>
      <c r="T32" s="8"/>
      <c r="U32" s="3"/>
      <c r="V32" s="3"/>
      <c r="W32" s="3"/>
      <c r="X32" s="3"/>
      <c r="Y32" s="3"/>
      <c r="Z32" s="3"/>
      <c r="AA32" s="3"/>
      <c r="AB32" s="3"/>
      <c r="AC32" s="3"/>
      <c r="AD32" s="3"/>
    </row>
    <row r="33" spans="1:30" x14ac:dyDescent="0.2">
      <c r="A33" s="137"/>
      <c r="B33" s="138"/>
      <c r="D33" s="139"/>
      <c r="E33" s="139"/>
      <c r="F33" s="139"/>
      <c r="G33" s="139"/>
      <c r="H33" s="139"/>
      <c r="I33" s="140"/>
      <c r="J33" s="140"/>
      <c r="K33" s="140"/>
      <c r="L33" s="140"/>
      <c r="M33" s="140"/>
      <c r="N33" s="140"/>
      <c r="O33" s="140"/>
      <c r="P33" s="140"/>
      <c r="Q33" s="140"/>
      <c r="R33" s="140"/>
      <c r="T33" s="8"/>
      <c r="U33" s="176"/>
      <c r="V33" s="176"/>
      <c r="W33" s="176"/>
      <c r="X33" s="176"/>
      <c r="Y33" s="176"/>
      <c r="Z33" s="176"/>
      <c r="AA33" s="176"/>
      <c r="AB33" s="176"/>
      <c r="AC33" s="176"/>
      <c r="AD33" s="176"/>
    </row>
    <row r="34" spans="1:30" x14ac:dyDescent="0.2">
      <c r="A34" s="137" t="s">
        <v>27</v>
      </c>
      <c r="B34" s="138" t="s">
        <v>118</v>
      </c>
      <c r="D34" s="139">
        <f>'Balance Sheet- Historic'!C25</f>
        <v>31689</v>
      </c>
      <c r="E34" s="139">
        <f>'Balance Sheet- Historic'!D25</f>
        <v>27275</v>
      </c>
      <c r="F34" s="139">
        <f>'Balance Sheet- Historic'!E25</f>
        <v>45013</v>
      </c>
      <c r="G34" s="139">
        <f>'Balance Sheet- Historic'!F25</f>
        <v>51122</v>
      </c>
      <c r="H34" s="139">
        <f>'Balance Sheet- Historic'!G25</f>
        <v>52423</v>
      </c>
      <c r="I34" s="140">
        <f t="shared" ref="I34:R34" si="7">2.68%*I8</f>
        <v>55655.929304000005</v>
      </c>
      <c r="J34" s="140">
        <f t="shared" si="7"/>
        <v>59551.844355280009</v>
      </c>
      <c r="K34" s="140">
        <f t="shared" si="7"/>
        <v>63422.714238373213</v>
      </c>
      <c r="L34" s="140">
        <f t="shared" si="7"/>
        <v>67545.19066386747</v>
      </c>
      <c r="M34" s="140">
        <f t="shared" si="7"/>
        <v>71597.902103699525</v>
      </c>
      <c r="N34" s="140">
        <f t="shared" si="7"/>
        <v>75893.77622992151</v>
      </c>
      <c r="O34" s="140">
        <f t="shared" si="7"/>
        <v>80067.933922567187</v>
      </c>
      <c r="P34" s="140">
        <f t="shared" si="7"/>
        <v>84471.670288308378</v>
      </c>
      <c r="Q34" s="140">
        <f t="shared" si="7"/>
        <v>88695.25380272379</v>
      </c>
      <c r="R34" s="140">
        <f t="shared" si="7"/>
        <v>93130.016492859984</v>
      </c>
      <c r="T34" s="8"/>
      <c r="U34" s="176"/>
      <c r="V34" s="176"/>
      <c r="W34" s="176"/>
      <c r="X34" s="176"/>
      <c r="Y34" s="176"/>
      <c r="Z34" s="176"/>
      <c r="AA34" s="176"/>
      <c r="AB34" s="176"/>
      <c r="AC34" s="176"/>
      <c r="AD34" s="176"/>
    </row>
    <row r="35" spans="1:30" x14ac:dyDescent="0.2">
      <c r="A35" s="150" t="s">
        <v>8</v>
      </c>
      <c r="B35" s="151" t="s">
        <v>118</v>
      </c>
      <c r="C35" s="152"/>
      <c r="D35" s="153">
        <f>SUM(D29:D34)</f>
        <v>325796</v>
      </c>
      <c r="E35" s="153">
        <f t="shared" ref="E35:R35" si="8">SUM(E29:E34)</f>
        <v>332602</v>
      </c>
      <c r="F35" s="153">
        <f t="shared" si="8"/>
        <v>361512</v>
      </c>
      <c r="G35" s="153">
        <f t="shared" si="8"/>
        <v>432295</v>
      </c>
      <c r="H35" s="153">
        <f t="shared" si="8"/>
        <v>534321</v>
      </c>
      <c r="I35" s="146">
        <f t="shared" si="8"/>
        <v>542359.77953699045</v>
      </c>
      <c r="J35" s="146">
        <f t="shared" si="8"/>
        <v>580461.70822142262</v>
      </c>
      <c r="K35" s="146">
        <f t="shared" si="8"/>
        <v>627084.54133039643</v>
      </c>
      <c r="L35" s="146">
        <f t="shared" si="8"/>
        <v>693093.4279144092</v>
      </c>
      <c r="M35" s="146">
        <f t="shared" si="8"/>
        <v>771904.20463402348</v>
      </c>
      <c r="N35" s="146">
        <f t="shared" si="8"/>
        <v>866428.66355069366</v>
      </c>
      <c r="O35" s="146">
        <f t="shared" si="8"/>
        <v>988084.85356899269</v>
      </c>
      <c r="P35" s="146">
        <f t="shared" si="8"/>
        <v>1126076.7290047617</v>
      </c>
      <c r="Q35" s="146">
        <f t="shared" si="8"/>
        <v>1278522.9217034397</v>
      </c>
      <c r="R35" s="146">
        <f t="shared" si="8"/>
        <v>1447821.4033687881</v>
      </c>
      <c r="U35" s="3"/>
      <c r="V35" s="3"/>
      <c r="W35" s="3"/>
      <c r="X35" s="3"/>
      <c r="Y35" s="3"/>
      <c r="Z35" s="3"/>
      <c r="AA35" s="3"/>
      <c r="AB35" s="3"/>
      <c r="AC35" s="3"/>
      <c r="AD35" s="3"/>
    </row>
    <row r="36" spans="1:30" x14ac:dyDescent="0.2">
      <c r="A36" s="137" t="s">
        <v>13</v>
      </c>
      <c r="B36" s="138" t="s">
        <v>118</v>
      </c>
      <c r="D36" s="139">
        <f>'Balance Sheet- Historic'!C10</f>
        <v>192203</v>
      </c>
      <c r="E36" s="139">
        <f>'Balance Sheet- Historic'!D10</f>
        <v>189008</v>
      </c>
      <c r="F36" s="139">
        <f>'Balance Sheet- Historic'!E10</f>
        <v>183235</v>
      </c>
      <c r="G36" s="139">
        <f>'Balance Sheet- Historic'!F10</f>
        <v>176009</v>
      </c>
      <c r="H36" s="139">
        <f>'Balance Sheet- Historic'!G10</f>
        <v>173512</v>
      </c>
      <c r="I36" s="140">
        <f>'Working '!M104</f>
        <v>179998.95410149579</v>
      </c>
      <c r="J36" s="140">
        <f>'Working '!N104</f>
        <v>176366.1118246206</v>
      </c>
      <c r="K36" s="140">
        <f>'Working '!O104</f>
        <v>172497.13479974851</v>
      </c>
      <c r="L36" s="140">
        <f>'Working '!P104</f>
        <v>168376.67426825973</v>
      </c>
      <c r="M36" s="140">
        <f>'Working '!Q104</f>
        <v>164008.98610488165</v>
      </c>
      <c r="N36" s="140">
        <f>'Working '!R104</f>
        <v>159379.23665170086</v>
      </c>
      <c r="O36" s="140">
        <f>'Working '!S104</f>
        <v>154494.85097859512</v>
      </c>
      <c r="P36" s="140">
        <f>'Working '!T104</f>
        <v>149341.8240934686</v>
      </c>
      <c r="Q36" s="140">
        <f>'Working '!U104</f>
        <v>143931.14586408573</v>
      </c>
      <c r="R36" s="140">
        <f>'Working '!V104</f>
        <v>138249.93372323373</v>
      </c>
      <c r="U36" s="3"/>
      <c r="V36" s="3"/>
      <c r="W36" s="3"/>
      <c r="X36" s="3"/>
      <c r="Y36" s="3"/>
      <c r="Z36" s="3"/>
      <c r="AA36" s="3"/>
      <c r="AB36" s="3"/>
      <c r="AC36" s="3"/>
      <c r="AD36" s="3"/>
    </row>
    <row r="37" spans="1:30" x14ac:dyDescent="0.2">
      <c r="A37" s="137" t="s">
        <v>14</v>
      </c>
      <c r="B37" s="138" t="s">
        <v>118</v>
      </c>
      <c r="D37" s="139">
        <f>'Balance Sheet- Historic'!C11</f>
        <v>12879</v>
      </c>
      <c r="E37" s="139">
        <f>'Balance Sheet- Historic'!D11</f>
        <v>10989</v>
      </c>
      <c r="F37" s="139">
        <f>'Balance Sheet- Historic'!E11</f>
        <v>7713</v>
      </c>
      <c r="G37" s="139">
        <f>'Balance Sheet- Historic'!F11</f>
        <v>17268</v>
      </c>
      <c r="H37" s="139">
        <f>'Balance Sheet- Historic'!G11</f>
        <v>25337</v>
      </c>
      <c r="I37" s="140">
        <f>'Working '!M105</f>
        <v>14600.703117727957</v>
      </c>
      <c r="J37" s="140">
        <f>'Working '!N105</f>
        <v>14306.023341265052</v>
      </c>
      <c r="K37" s="140">
        <f>'Working '!O105</f>
        <v>13992.189379332058</v>
      </c>
      <c r="L37" s="140">
        <f>'Working '!P105</f>
        <v>13657.956209873417</v>
      </c>
      <c r="M37" s="140">
        <f>'Working '!Q105</f>
        <v>13303.669050247259</v>
      </c>
      <c r="N37" s="140">
        <f>'Working '!R105</f>
        <v>12928.124661043532</v>
      </c>
      <c r="O37" s="140">
        <f>'Working '!S105</f>
        <v>12531.9253304336</v>
      </c>
      <c r="P37" s="140">
        <f>'Working '!T105</f>
        <v>12113.935036640123</v>
      </c>
      <c r="Q37" s="140">
        <f>'Working '!U105</f>
        <v>11675.045228156971</v>
      </c>
      <c r="R37" s="140">
        <f>'Working '!V105</f>
        <v>11214.210929249661</v>
      </c>
    </row>
    <row r="38" spans="1:30" x14ac:dyDescent="0.2">
      <c r="A38" s="137" t="s">
        <v>15</v>
      </c>
      <c r="B38" s="138" t="s">
        <v>118</v>
      </c>
      <c r="D38" s="139">
        <f>'Balance Sheet- Historic'!C12</f>
        <v>2098</v>
      </c>
      <c r="E38" s="139">
        <f>'Balance Sheet- Historic'!D12</f>
        <v>1638</v>
      </c>
      <c r="F38" s="139">
        <f>'Balance Sheet- Historic'!E12</f>
        <v>1223</v>
      </c>
      <c r="G38" s="139">
        <f>'Balance Sheet- Historic'!F12</f>
        <v>904</v>
      </c>
      <c r="H38" s="139">
        <f>'Balance Sheet- Historic'!G12</f>
        <v>737</v>
      </c>
      <c r="I38" s="140">
        <f>'Working '!M106</f>
        <v>1291.4027018931156</v>
      </c>
      <c r="J38" s="140">
        <f>'Working '!N106</f>
        <v>1265.3388708262819</v>
      </c>
      <c r="K38" s="140">
        <f>'Working '!O106</f>
        <v>1237.5808907401038</v>
      </c>
      <c r="L38" s="140">
        <f>'Working '!P106</f>
        <v>1208.0186419483241</v>
      </c>
      <c r="M38" s="140">
        <f>'Working '!Q106</f>
        <v>1176.6826582290375</v>
      </c>
      <c r="N38" s="140">
        <f>'Working '!R106</f>
        <v>1143.4665154865941</v>
      </c>
      <c r="O38" s="140">
        <f>'Working '!S106</f>
        <v>1108.4234848933161</v>
      </c>
      <c r="P38" s="140">
        <f>'Working '!T106</f>
        <v>1071.4530876174078</v>
      </c>
      <c r="Q38" s="140">
        <f>'Working '!U106</f>
        <v>1032.6341704777042</v>
      </c>
      <c r="R38" s="140">
        <f>'Working '!V106</f>
        <v>991.87430748101519</v>
      </c>
      <c r="U38" s="8"/>
      <c r="V38" s="8"/>
      <c r="W38" s="8"/>
      <c r="X38" s="8"/>
      <c r="Y38" s="8"/>
      <c r="Z38" s="8"/>
      <c r="AA38" s="8"/>
      <c r="AB38" s="8"/>
      <c r="AC38" s="8"/>
      <c r="AD38" s="8"/>
    </row>
    <row r="39" spans="1:30" x14ac:dyDescent="0.2">
      <c r="A39" s="137" t="s">
        <v>16</v>
      </c>
      <c r="B39" s="138" t="s">
        <v>118</v>
      </c>
      <c r="D39" s="139">
        <f>'Balance Sheet- Historic'!C13</f>
        <v>645</v>
      </c>
      <c r="E39" s="139">
        <f>'Balance Sheet- Historic'!D13</f>
        <v>645</v>
      </c>
      <c r="F39" s="139">
        <f>'Balance Sheet- Historic'!E13</f>
        <v>645</v>
      </c>
      <c r="G39" s="139">
        <f>'Balance Sheet- Historic'!F13</f>
        <v>645</v>
      </c>
      <c r="H39" s="139">
        <f>'Balance Sheet- Historic'!G13</f>
        <v>645</v>
      </c>
      <c r="I39" s="140">
        <v>0</v>
      </c>
      <c r="J39" s="140">
        <v>0</v>
      </c>
      <c r="K39" s="140">
        <v>0</v>
      </c>
      <c r="L39" s="140">
        <v>0</v>
      </c>
      <c r="M39" s="140">
        <v>0</v>
      </c>
      <c r="N39" s="140">
        <v>0</v>
      </c>
      <c r="O39" s="140">
        <v>0</v>
      </c>
      <c r="P39" s="140">
        <v>0</v>
      </c>
      <c r="Q39" s="140">
        <v>0</v>
      </c>
      <c r="R39" s="140">
        <v>0</v>
      </c>
      <c r="U39" s="8"/>
      <c r="V39" s="8"/>
      <c r="W39" s="8"/>
      <c r="X39" s="8"/>
      <c r="Y39" s="8"/>
      <c r="Z39" s="8"/>
      <c r="AA39" s="8"/>
      <c r="AB39" s="8"/>
      <c r="AC39" s="8"/>
      <c r="AD39" s="8"/>
    </row>
    <row r="40" spans="1:30" x14ac:dyDescent="0.2">
      <c r="A40" s="137" t="s">
        <v>17</v>
      </c>
      <c r="B40" s="138" t="s">
        <v>118</v>
      </c>
      <c r="D40" s="139">
        <f>'Balance Sheet- Historic'!C14</f>
        <v>606</v>
      </c>
      <c r="E40" s="139">
        <f>'Balance Sheet- Historic'!D14</f>
        <v>835</v>
      </c>
      <c r="F40" s="139">
        <f>'Balance Sheet- Historic'!E14</f>
        <v>805</v>
      </c>
      <c r="G40" s="139">
        <f>'Balance Sheet- Historic'!F14</f>
        <v>797</v>
      </c>
      <c r="H40" s="139">
        <f>'Balance Sheet- Historic'!G14</f>
        <v>785</v>
      </c>
      <c r="I40" s="140">
        <v>0</v>
      </c>
      <c r="J40" s="140">
        <v>0</v>
      </c>
      <c r="K40" s="140">
        <v>0</v>
      </c>
      <c r="L40" s="140">
        <v>0</v>
      </c>
      <c r="M40" s="140">
        <v>0</v>
      </c>
      <c r="N40" s="140">
        <v>0</v>
      </c>
      <c r="O40" s="140">
        <v>0</v>
      </c>
      <c r="P40" s="140">
        <v>0</v>
      </c>
      <c r="Q40" s="140">
        <v>0</v>
      </c>
      <c r="R40" s="140">
        <v>0</v>
      </c>
      <c r="U40" s="176"/>
      <c r="V40" s="176"/>
      <c r="W40" s="176"/>
      <c r="X40" s="176"/>
      <c r="Y40" s="176"/>
      <c r="Z40" s="176"/>
      <c r="AA40" s="176"/>
      <c r="AB40" s="176"/>
      <c r="AC40" s="176"/>
      <c r="AD40" s="176"/>
    </row>
    <row r="41" spans="1:30" x14ac:dyDescent="0.2">
      <c r="A41" s="137" t="s">
        <v>19</v>
      </c>
      <c r="B41" s="138" t="s">
        <v>118</v>
      </c>
      <c r="D41" s="139">
        <f>'Balance Sheet- Historic'!C16</f>
        <v>20395</v>
      </c>
      <c r="E41" s="139">
        <f>'Balance Sheet- Historic'!D16</f>
        <v>20199</v>
      </c>
      <c r="F41" s="139">
        <f>'Balance Sheet- Historic'!E16</f>
        <v>22138</v>
      </c>
      <c r="G41" s="139">
        <f>'Balance Sheet- Historic'!F16</f>
        <v>21135</v>
      </c>
      <c r="H41" s="139">
        <f>'Balance Sheet- Historic'!G16</f>
        <v>22596</v>
      </c>
      <c r="I41" s="178">
        <f>H41</f>
        <v>22596</v>
      </c>
      <c r="J41" s="178">
        <f t="shared" ref="J41:R41" si="9">I41</f>
        <v>22596</v>
      </c>
      <c r="K41" s="178">
        <f t="shared" si="9"/>
        <v>22596</v>
      </c>
      <c r="L41" s="178">
        <f t="shared" si="9"/>
        <v>22596</v>
      </c>
      <c r="M41" s="178">
        <f t="shared" si="9"/>
        <v>22596</v>
      </c>
      <c r="N41" s="178">
        <f t="shared" si="9"/>
        <v>22596</v>
      </c>
      <c r="O41" s="178">
        <f t="shared" si="9"/>
        <v>22596</v>
      </c>
      <c r="P41" s="178">
        <f t="shared" si="9"/>
        <v>22596</v>
      </c>
      <c r="Q41" s="178">
        <f t="shared" si="9"/>
        <v>22596</v>
      </c>
      <c r="R41" s="178">
        <f t="shared" si="9"/>
        <v>22596</v>
      </c>
      <c r="U41" s="176"/>
      <c r="V41" s="176"/>
      <c r="W41" s="176"/>
      <c r="X41" s="176"/>
      <c r="Y41" s="176"/>
      <c r="Z41" s="176"/>
      <c r="AA41" s="176"/>
      <c r="AB41" s="176"/>
      <c r="AC41" s="176"/>
      <c r="AD41" s="176"/>
    </row>
    <row r="42" spans="1:30" x14ac:dyDescent="0.2">
      <c r="A42" s="137" t="s">
        <v>20</v>
      </c>
      <c r="B42" s="138" t="s">
        <v>118</v>
      </c>
      <c r="D42" s="139">
        <f>'Balance Sheet- Historic'!C17</f>
        <v>3497</v>
      </c>
      <c r="E42" s="139">
        <f>'Balance Sheet- Historic'!D17</f>
        <v>3844</v>
      </c>
      <c r="F42" s="139">
        <f>'Balance Sheet- Historic'!E17</f>
        <v>4501</v>
      </c>
      <c r="G42" s="139">
        <f>'Balance Sheet- Historic'!F17</f>
        <v>5293</v>
      </c>
      <c r="H42" s="139">
        <f>'Balance Sheet- Historic'!G17</f>
        <v>6674</v>
      </c>
      <c r="I42" s="140">
        <f>H42</f>
        <v>6674</v>
      </c>
      <c r="J42" s="140">
        <f t="shared" ref="J42:R42" si="10">I42</f>
        <v>6674</v>
      </c>
      <c r="K42" s="140">
        <f t="shared" si="10"/>
        <v>6674</v>
      </c>
      <c r="L42" s="140">
        <f t="shared" si="10"/>
        <v>6674</v>
      </c>
      <c r="M42" s="140">
        <f t="shared" si="10"/>
        <v>6674</v>
      </c>
      <c r="N42" s="140">
        <f t="shared" si="10"/>
        <v>6674</v>
      </c>
      <c r="O42" s="140">
        <f t="shared" si="10"/>
        <v>6674</v>
      </c>
      <c r="P42" s="140">
        <f t="shared" si="10"/>
        <v>6674</v>
      </c>
      <c r="Q42" s="140">
        <f t="shared" si="10"/>
        <v>6674</v>
      </c>
      <c r="R42" s="140">
        <f t="shared" si="10"/>
        <v>6674</v>
      </c>
      <c r="U42" s="176"/>
      <c r="V42" s="176"/>
      <c r="W42" s="176"/>
      <c r="X42" s="176"/>
      <c r="Y42" s="176"/>
      <c r="Z42" s="176"/>
      <c r="AA42" s="176"/>
      <c r="AB42" s="176"/>
      <c r="AC42" s="176"/>
      <c r="AD42" s="176"/>
    </row>
    <row r="43" spans="1:30" x14ac:dyDescent="0.2">
      <c r="A43" s="137" t="s">
        <v>18</v>
      </c>
      <c r="B43" s="138" t="s">
        <v>118</v>
      </c>
      <c r="D43" s="139">
        <f>'Balance Sheet- Historic'!C15</f>
        <v>4711</v>
      </c>
      <c r="E43" s="139">
        <f>'Balance Sheet- Historic'!D15</f>
        <v>4816</v>
      </c>
      <c r="F43" s="139">
        <f>'Balance Sheet- Historic'!E15</f>
        <v>4676</v>
      </c>
      <c r="G43" s="139">
        <f>'Balance Sheet- Historic'!F15</f>
        <v>3937</v>
      </c>
      <c r="H43" s="139">
        <f>'Balance Sheet- Historic'!G15</f>
        <v>4498</v>
      </c>
      <c r="I43" s="140">
        <f>H43</f>
        <v>4498</v>
      </c>
      <c r="J43" s="140">
        <f t="shared" ref="J43:R43" si="11">I43</f>
        <v>4498</v>
      </c>
      <c r="K43" s="140">
        <f t="shared" si="11"/>
        <v>4498</v>
      </c>
      <c r="L43" s="140">
        <f t="shared" si="11"/>
        <v>4498</v>
      </c>
      <c r="M43" s="140">
        <f t="shared" si="11"/>
        <v>4498</v>
      </c>
      <c r="N43" s="140">
        <f t="shared" si="11"/>
        <v>4498</v>
      </c>
      <c r="O43" s="140">
        <f t="shared" si="11"/>
        <v>4498</v>
      </c>
      <c r="P43" s="140">
        <f t="shared" si="11"/>
        <v>4498</v>
      </c>
      <c r="Q43" s="140">
        <f t="shared" si="11"/>
        <v>4498</v>
      </c>
      <c r="R43" s="140">
        <f t="shared" si="11"/>
        <v>4498</v>
      </c>
      <c r="U43" s="176"/>
      <c r="V43" s="176"/>
      <c r="W43" s="176"/>
      <c r="X43" s="176"/>
      <c r="Y43" s="176"/>
      <c r="Z43" s="176"/>
      <c r="AA43" s="176"/>
      <c r="AB43" s="176"/>
      <c r="AC43" s="176"/>
      <c r="AD43" s="176"/>
    </row>
    <row r="44" spans="1:30" x14ac:dyDescent="0.2">
      <c r="A44" s="137" t="s">
        <v>21</v>
      </c>
      <c r="B44" s="138" t="s">
        <v>118</v>
      </c>
      <c r="D44" s="139">
        <f>'Balance Sheet- Historic'!C18</f>
        <v>15826</v>
      </c>
      <c r="E44" s="139">
        <f>'Balance Sheet- Historic'!D18</f>
        <v>25044</v>
      </c>
      <c r="F44" s="139">
        <f>'Balance Sheet- Historic'!E18</f>
        <v>34458</v>
      </c>
      <c r="G44" s="139">
        <f>'Balance Sheet- Historic'!F18</f>
        <v>37802</v>
      </c>
      <c r="H44" s="139">
        <f>'Balance Sheet- Historic'!G18</f>
        <v>42203</v>
      </c>
      <c r="I44" s="140">
        <f>H44</f>
        <v>42203</v>
      </c>
      <c r="J44" s="140">
        <f t="shared" ref="J44:R44" si="12">I44</f>
        <v>42203</v>
      </c>
      <c r="K44" s="140">
        <f t="shared" si="12"/>
        <v>42203</v>
      </c>
      <c r="L44" s="140">
        <f t="shared" si="12"/>
        <v>42203</v>
      </c>
      <c r="M44" s="140">
        <f t="shared" si="12"/>
        <v>42203</v>
      </c>
      <c r="N44" s="140">
        <f t="shared" si="12"/>
        <v>42203</v>
      </c>
      <c r="O44" s="140">
        <f t="shared" si="12"/>
        <v>42203</v>
      </c>
      <c r="P44" s="140">
        <f t="shared" si="12"/>
        <v>42203</v>
      </c>
      <c r="Q44" s="140">
        <f t="shared" si="12"/>
        <v>42203</v>
      </c>
      <c r="R44" s="140">
        <f t="shared" si="12"/>
        <v>42203</v>
      </c>
      <c r="T44" s="8"/>
      <c r="U44" s="176"/>
      <c r="V44" s="176"/>
      <c r="W44" s="176"/>
      <c r="X44" s="8"/>
      <c r="Y44" s="8"/>
      <c r="Z44" s="8"/>
      <c r="AA44" s="8"/>
      <c r="AB44" s="8"/>
      <c r="AC44" s="8"/>
      <c r="AD44" s="8"/>
    </row>
    <row r="45" spans="1:30" x14ac:dyDescent="0.2">
      <c r="A45" s="150" t="s">
        <v>7</v>
      </c>
      <c r="B45" s="151" t="s">
        <v>118</v>
      </c>
      <c r="C45" s="152"/>
      <c r="D45" s="153">
        <f>SUM(D36:D44)</f>
        <v>252860</v>
      </c>
      <c r="E45" s="153">
        <f>SUM(E36:E44)</f>
        <v>257018</v>
      </c>
      <c r="F45" s="153">
        <f>SUM(F36:F44)</f>
        <v>259394</v>
      </c>
      <c r="G45" s="153">
        <f t="shared" ref="G45" si="13">SUM(G36:G44)</f>
        <v>263790</v>
      </c>
      <c r="H45" s="153">
        <f>SUM(H36:H44)</f>
        <v>276987</v>
      </c>
      <c r="I45" s="146">
        <f>SUM(I36:I44)</f>
        <v>271862.05992111686</v>
      </c>
      <c r="J45" s="146">
        <f t="shared" ref="J45:R45" si="14">SUM(J36:J44)</f>
        <v>267908.47403671197</v>
      </c>
      <c r="K45" s="146">
        <f t="shared" si="14"/>
        <v>263697.9050698207</v>
      </c>
      <c r="L45" s="146">
        <f t="shared" si="14"/>
        <v>259213.64912008148</v>
      </c>
      <c r="M45" s="146">
        <f t="shared" si="14"/>
        <v>254460.33781335794</v>
      </c>
      <c r="N45" s="146">
        <f t="shared" si="14"/>
        <v>249421.82782823098</v>
      </c>
      <c r="O45" s="146">
        <f t="shared" si="14"/>
        <v>244106.19979392202</v>
      </c>
      <c r="P45" s="146">
        <f t="shared" si="14"/>
        <v>238498.21221772613</v>
      </c>
      <c r="Q45" s="146">
        <f t="shared" si="14"/>
        <v>232609.82526272041</v>
      </c>
      <c r="R45" s="146">
        <f t="shared" si="14"/>
        <v>226427.01895996442</v>
      </c>
      <c r="U45" s="8"/>
      <c r="V45" s="8"/>
      <c r="W45" s="8"/>
      <c r="X45" s="8"/>
      <c r="Y45" s="8"/>
      <c r="Z45" s="8"/>
      <c r="AA45" s="8"/>
      <c r="AB45" s="8"/>
      <c r="AC45" s="8"/>
      <c r="AD45" s="8"/>
    </row>
    <row r="46" spans="1:30" x14ac:dyDescent="0.2">
      <c r="A46" s="137" t="s">
        <v>29</v>
      </c>
      <c r="B46" s="138" t="s">
        <v>118</v>
      </c>
      <c r="D46" s="139">
        <f>'Balance Sheet- Historic'!C27</f>
        <v>488</v>
      </c>
      <c r="E46" s="139">
        <f>'Balance Sheet- Historic'!D27</f>
        <v>488</v>
      </c>
      <c r="F46" s="139">
        <f>'Balance Sheet- Historic'!E27</f>
        <v>486</v>
      </c>
      <c r="G46" s="139">
        <f>'Balance Sheet- Historic'!F27</f>
        <v>493</v>
      </c>
      <c r="H46" s="139">
        <f>'Balance Sheet- Historic'!G27</f>
        <v>486</v>
      </c>
      <c r="I46" s="140">
        <f>AVERAGE(D46:H46)</f>
        <v>488.2</v>
      </c>
      <c r="J46" s="140">
        <f t="shared" ref="J46:R46" si="15">AVERAGE(E46:I46)</f>
        <v>488.23999999999995</v>
      </c>
      <c r="K46" s="140">
        <f t="shared" si="15"/>
        <v>488.28800000000001</v>
      </c>
      <c r="L46" s="140">
        <f t="shared" si="15"/>
        <v>488.74560000000002</v>
      </c>
      <c r="M46" s="140">
        <f t="shared" si="15"/>
        <v>487.89472000000006</v>
      </c>
      <c r="N46" s="140">
        <f t="shared" si="15"/>
        <v>488.273664</v>
      </c>
      <c r="O46" s="140">
        <f t="shared" si="15"/>
        <v>488.28839679999999</v>
      </c>
      <c r="P46" s="140">
        <f t="shared" si="15"/>
        <v>488.29807615999999</v>
      </c>
      <c r="Q46" s="140">
        <f t="shared" si="15"/>
        <v>488.30009139200001</v>
      </c>
      <c r="R46" s="140">
        <f t="shared" si="15"/>
        <v>488.21098967039995</v>
      </c>
      <c r="U46" s="3"/>
    </row>
    <row r="47" spans="1:30" x14ac:dyDescent="0.2">
      <c r="A47" s="167" t="s">
        <v>294</v>
      </c>
      <c r="B47" s="168" t="s">
        <v>118</v>
      </c>
      <c r="C47" s="169"/>
      <c r="D47" s="170">
        <f>'Balance Sheet- Historic'!C28</f>
        <v>585216</v>
      </c>
      <c r="E47" s="170">
        <f>'Balance Sheet- Historic'!D28</f>
        <v>594931</v>
      </c>
      <c r="F47" s="170">
        <f>'Balance Sheet- Historic'!E28</f>
        <v>628039</v>
      </c>
      <c r="G47" s="170">
        <f>'Balance Sheet- Historic'!F28</f>
        <v>705337</v>
      </c>
      <c r="H47" s="170">
        <f>'Balance Sheet- Historic'!G28</f>
        <v>822279</v>
      </c>
      <c r="I47" s="171">
        <f>SUM(I45,I35,I46)</f>
        <v>814710.0394581072</v>
      </c>
      <c r="J47" s="171">
        <f t="shared" ref="J47:R47" si="16">SUM(J45,J35,J46)</f>
        <v>848858.42225813458</v>
      </c>
      <c r="K47" s="171">
        <f t="shared" si="16"/>
        <v>891270.73440021707</v>
      </c>
      <c r="L47" s="171">
        <f t="shared" si="16"/>
        <v>952795.82263449067</v>
      </c>
      <c r="M47" s="171">
        <f t="shared" si="16"/>
        <v>1026852.4371673814</v>
      </c>
      <c r="N47" s="171">
        <f t="shared" si="16"/>
        <v>1116338.7650429246</v>
      </c>
      <c r="O47" s="171">
        <f t="shared" si="16"/>
        <v>1232679.3417597148</v>
      </c>
      <c r="P47" s="171">
        <f t="shared" si="16"/>
        <v>1365063.2392986477</v>
      </c>
      <c r="Q47" s="171">
        <f t="shared" si="16"/>
        <v>1511621.047057552</v>
      </c>
      <c r="R47" s="171">
        <f t="shared" si="16"/>
        <v>1674736.6333184228</v>
      </c>
    </row>
    <row r="48" spans="1:30" x14ac:dyDescent="0.2">
      <c r="A48" s="137" t="s">
        <v>31</v>
      </c>
      <c r="B48" s="138" t="s">
        <v>118</v>
      </c>
      <c r="D48" s="139">
        <f>'Balance Sheet- Historic'!C30</f>
        <v>2644</v>
      </c>
      <c r="E48" s="139">
        <f>'Balance Sheet- Historic'!D30</f>
        <v>2644</v>
      </c>
      <c r="F48" s="139">
        <f>'Balance Sheet- Historic'!E30</f>
        <v>2644</v>
      </c>
      <c r="G48" s="139">
        <f>'Balance Sheet- Historic'!F30</f>
        <v>2644</v>
      </c>
      <c r="H48" s="139">
        <f>'Balance Sheet- Historic'!G30</f>
        <v>2644</v>
      </c>
      <c r="I48" s="140">
        <f>H48</f>
        <v>2644</v>
      </c>
      <c r="J48" s="140">
        <f t="shared" ref="J48:R48" si="17">I48</f>
        <v>2644</v>
      </c>
      <c r="K48" s="140">
        <f t="shared" si="17"/>
        <v>2644</v>
      </c>
      <c r="L48" s="140">
        <f t="shared" si="17"/>
        <v>2644</v>
      </c>
      <c r="M48" s="140">
        <f t="shared" si="17"/>
        <v>2644</v>
      </c>
      <c r="N48" s="140">
        <f t="shared" si="17"/>
        <v>2644</v>
      </c>
      <c r="O48" s="140">
        <f t="shared" si="17"/>
        <v>2644</v>
      </c>
      <c r="P48" s="140">
        <f t="shared" si="17"/>
        <v>2644</v>
      </c>
      <c r="Q48" s="140">
        <f t="shared" si="17"/>
        <v>2644</v>
      </c>
      <c r="R48" s="140">
        <f t="shared" si="17"/>
        <v>2644</v>
      </c>
    </row>
    <row r="49" spans="1:31" x14ac:dyDescent="0.2">
      <c r="A49" s="137" t="s">
        <v>32</v>
      </c>
      <c r="B49" s="138" t="s">
        <v>118</v>
      </c>
      <c r="D49" s="139">
        <f>'Working '!H161</f>
        <v>355584</v>
      </c>
      <c r="E49" s="139">
        <f>'Working '!I161</f>
        <v>390868</v>
      </c>
      <c r="F49" s="139">
        <f>'Working '!J161</f>
        <v>393845</v>
      </c>
      <c r="G49" s="139">
        <f>'Working '!K161</f>
        <v>415190</v>
      </c>
      <c r="H49" s="139">
        <f>'Working '!L161</f>
        <v>433748</v>
      </c>
      <c r="I49" s="140">
        <f>'Working '!M161</f>
        <v>451676.54037339415</v>
      </c>
      <c r="J49" s="140">
        <f>'Working '!N161</f>
        <v>474283.12663972547</v>
      </c>
      <c r="K49" s="140">
        <f>'Working '!O161</f>
        <v>512657.64650959201</v>
      </c>
      <c r="L49" s="140">
        <f>'Working '!P161</f>
        <v>566414.34691911936</v>
      </c>
      <c r="M49" s="140">
        <f>'Working '!Q161</f>
        <v>636691.05580335762</v>
      </c>
      <c r="N49" s="140">
        <f>'Working '!R161</f>
        <v>724901.79174206348</v>
      </c>
      <c r="O49" s="140">
        <f>'Working '!S161</f>
        <v>826829.84934128937</v>
      </c>
      <c r="P49" s="140">
        <f>'Working '!T161</f>
        <v>943549.15599947795</v>
      </c>
      <c r="Q49" s="140">
        <f>'Working '!U161</f>
        <v>1075576.4622399518</v>
      </c>
      <c r="R49" s="140">
        <f>'Working '!V161</f>
        <v>1223973.9203557759</v>
      </c>
      <c r="T49" s="9"/>
      <c r="U49" s="9"/>
      <c r="V49" s="9"/>
      <c r="W49" s="9"/>
      <c r="X49" s="9"/>
      <c r="Y49" s="9"/>
      <c r="Z49" s="9"/>
      <c r="AA49" s="9"/>
      <c r="AB49" s="9"/>
      <c r="AC49" s="9"/>
      <c r="AD49" s="9"/>
    </row>
    <row r="50" spans="1:31" x14ac:dyDescent="0.2">
      <c r="A50" s="142" t="s">
        <v>33</v>
      </c>
      <c r="B50" s="138" t="s">
        <v>118</v>
      </c>
      <c r="D50" s="139">
        <f>SUM(D48:D49)</f>
        <v>358228</v>
      </c>
      <c r="E50" s="139">
        <f t="shared" ref="E50:H50" si="18">SUM(E48:E49)</f>
        <v>393512</v>
      </c>
      <c r="F50" s="139">
        <f t="shared" si="18"/>
        <v>396489</v>
      </c>
      <c r="G50" s="139">
        <f t="shared" si="18"/>
        <v>417834</v>
      </c>
      <c r="H50" s="139">
        <f t="shared" si="18"/>
        <v>436392</v>
      </c>
      <c r="I50" s="140">
        <f>SUM(I48:I49)</f>
        <v>454320.54037339415</v>
      </c>
      <c r="J50" s="140">
        <f t="shared" ref="J50:R50" si="19">SUM(J48:J49)</f>
        <v>476927.12663972547</v>
      </c>
      <c r="K50" s="140">
        <f t="shared" si="19"/>
        <v>515301.64650959201</v>
      </c>
      <c r="L50" s="140">
        <f t="shared" si="19"/>
        <v>569058.34691911936</v>
      </c>
      <c r="M50" s="140">
        <f t="shared" si="19"/>
        <v>639335.05580335762</v>
      </c>
      <c r="N50" s="140">
        <f t="shared" si="19"/>
        <v>727545.79174206348</v>
      </c>
      <c r="O50" s="140">
        <f t="shared" si="19"/>
        <v>829473.84934128937</v>
      </c>
      <c r="P50" s="140">
        <f t="shared" si="19"/>
        <v>946193.15599947795</v>
      </c>
      <c r="Q50" s="140">
        <f t="shared" si="19"/>
        <v>1078220.4622399518</v>
      </c>
      <c r="R50" s="140">
        <f t="shared" si="19"/>
        <v>1226617.9203557759</v>
      </c>
      <c r="U50" s="3"/>
      <c r="V50" s="3"/>
      <c r="W50" s="3"/>
      <c r="X50" s="3"/>
      <c r="Y50" s="3"/>
      <c r="Z50" s="3"/>
      <c r="AA50" s="3"/>
      <c r="AB50" s="3"/>
      <c r="AC50" s="3"/>
      <c r="AD50" s="3"/>
    </row>
    <row r="51" spans="1:31" x14ac:dyDescent="0.2">
      <c r="A51" s="137" t="s">
        <v>9</v>
      </c>
      <c r="B51" s="138" t="s">
        <v>118</v>
      </c>
      <c r="D51" s="139">
        <f>'Balance Sheet- Historic'!C33</f>
        <v>375</v>
      </c>
      <c r="E51" s="139">
        <f>'Balance Sheet- Historic'!D33</f>
        <v>414</v>
      </c>
      <c r="F51" s="139">
        <f>'Balance Sheet- Historic'!E33</f>
        <v>461</v>
      </c>
      <c r="G51" s="139">
        <f>'Balance Sheet- Historic'!F33</f>
        <v>522</v>
      </c>
      <c r="H51" s="139">
        <f>'Balance Sheet- Historic'!G33</f>
        <v>572</v>
      </c>
      <c r="I51" s="140">
        <f>H51</f>
        <v>572</v>
      </c>
      <c r="J51" s="140">
        <f t="shared" ref="J51:R51" si="20">I51</f>
        <v>572</v>
      </c>
      <c r="K51" s="140">
        <f t="shared" si="20"/>
        <v>572</v>
      </c>
      <c r="L51" s="140">
        <f t="shared" si="20"/>
        <v>572</v>
      </c>
      <c r="M51" s="140">
        <f t="shared" si="20"/>
        <v>572</v>
      </c>
      <c r="N51" s="140">
        <f t="shared" si="20"/>
        <v>572</v>
      </c>
      <c r="O51" s="140">
        <f t="shared" si="20"/>
        <v>572</v>
      </c>
      <c r="P51" s="140">
        <f t="shared" si="20"/>
        <v>572</v>
      </c>
      <c r="Q51" s="140">
        <f t="shared" si="20"/>
        <v>572</v>
      </c>
      <c r="R51" s="140">
        <f t="shared" si="20"/>
        <v>572</v>
      </c>
      <c r="U51" s="3"/>
      <c r="V51" s="3"/>
      <c r="W51" s="3"/>
      <c r="X51" s="3"/>
      <c r="Y51" s="3"/>
      <c r="Z51" s="3"/>
      <c r="AA51" s="3"/>
      <c r="AB51" s="3"/>
      <c r="AC51" s="3"/>
      <c r="AD51" s="3"/>
      <c r="AE51" s="175"/>
    </row>
    <row r="52" spans="1:31" x14ac:dyDescent="0.2">
      <c r="A52" s="150" t="s">
        <v>10</v>
      </c>
      <c r="B52" s="151" t="s">
        <v>118</v>
      </c>
      <c r="C52" s="152"/>
      <c r="D52" s="153">
        <f>SUM(D50:D51)</f>
        <v>358603</v>
      </c>
      <c r="E52" s="153">
        <f t="shared" ref="E52:R52" si="21">SUM(E50:E51)</f>
        <v>393926</v>
      </c>
      <c r="F52" s="153">
        <f t="shared" si="21"/>
        <v>396950</v>
      </c>
      <c r="G52" s="153">
        <f t="shared" si="21"/>
        <v>418356</v>
      </c>
      <c r="H52" s="153">
        <f t="shared" si="21"/>
        <v>436964</v>
      </c>
      <c r="I52" s="146">
        <f t="shared" si="21"/>
        <v>454892.54037339415</v>
      </c>
      <c r="J52" s="146">
        <f t="shared" si="21"/>
        <v>477499.12663972547</v>
      </c>
      <c r="K52" s="146">
        <f t="shared" si="21"/>
        <v>515873.64650959201</v>
      </c>
      <c r="L52" s="146">
        <f t="shared" si="21"/>
        <v>569630.34691911936</v>
      </c>
      <c r="M52" s="146">
        <f t="shared" si="21"/>
        <v>639907.05580335762</v>
      </c>
      <c r="N52" s="146">
        <f t="shared" si="21"/>
        <v>728117.79174206348</v>
      </c>
      <c r="O52" s="146">
        <f t="shared" si="21"/>
        <v>830045.84934128937</v>
      </c>
      <c r="P52" s="146">
        <f t="shared" si="21"/>
        <v>946765.15599947795</v>
      </c>
      <c r="Q52" s="146">
        <f t="shared" si="21"/>
        <v>1078792.4622399518</v>
      </c>
      <c r="R52" s="146">
        <f t="shared" si="21"/>
        <v>1227189.9203557759</v>
      </c>
      <c r="U52" s="3"/>
      <c r="V52" s="3"/>
      <c r="W52" s="3"/>
      <c r="X52" s="3"/>
      <c r="Y52" s="3"/>
      <c r="Z52" s="3"/>
      <c r="AA52" s="3"/>
      <c r="AB52" s="3"/>
      <c r="AC52" s="3"/>
      <c r="AD52" s="3"/>
    </row>
    <row r="53" spans="1:31" x14ac:dyDescent="0.2">
      <c r="A53" s="137" t="s">
        <v>37</v>
      </c>
      <c r="B53" s="138" t="s">
        <v>118</v>
      </c>
      <c r="D53" s="154">
        <f>'Balance Sheet- Historic'!C37</f>
        <v>11524</v>
      </c>
      <c r="E53" s="154">
        <f>'Balance Sheet- Historic'!D37</f>
        <v>0</v>
      </c>
      <c r="F53" s="154">
        <f>'Balance Sheet- Historic'!E37</f>
        <v>0</v>
      </c>
      <c r="G53" s="154">
        <f>'Balance Sheet- Historic'!F37</f>
        <v>0</v>
      </c>
      <c r="H53" s="154">
        <f>'Balance Sheet- Historic'!G37</f>
        <v>0</v>
      </c>
      <c r="I53" s="140">
        <v>0</v>
      </c>
      <c r="J53" s="140">
        <v>0</v>
      </c>
      <c r="K53" s="140">
        <v>0</v>
      </c>
      <c r="L53" s="140">
        <v>0</v>
      </c>
      <c r="M53" s="140">
        <v>0</v>
      </c>
      <c r="N53" s="140">
        <v>0</v>
      </c>
      <c r="O53" s="140">
        <v>0</v>
      </c>
      <c r="P53" s="140">
        <v>0</v>
      </c>
      <c r="Q53" s="140">
        <v>0</v>
      </c>
      <c r="R53" s="140">
        <v>0</v>
      </c>
      <c r="AD53" s="3"/>
    </row>
    <row r="54" spans="1:31" x14ac:dyDescent="0.2">
      <c r="A54" s="137" t="s">
        <v>38</v>
      </c>
      <c r="B54" s="138" t="s">
        <v>118</v>
      </c>
      <c r="D54" s="154" t="str">
        <f>'Balance Sheet- Historic'!C38</f>
        <v>—</v>
      </c>
      <c r="E54" s="154">
        <f>'Balance Sheet- Historic'!D38</f>
        <v>606</v>
      </c>
      <c r="F54" s="154">
        <f>'Balance Sheet- Historic'!E38</f>
        <v>1074</v>
      </c>
      <c r="G54" s="154">
        <f>'Balance Sheet- Historic'!F38</f>
        <v>1690</v>
      </c>
      <c r="H54" s="154">
        <f>'Balance Sheet- Historic'!G38</f>
        <v>3569</v>
      </c>
      <c r="I54" s="140">
        <v>0</v>
      </c>
      <c r="J54" s="140">
        <v>0</v>
      </c>
      <c r="K54" s="140">
        <v>0</v>
      </c>
      <c r="L54" s="140">
        <v>0</v>
      </c>
      <c r="M54" s="140">
        <v>0</v>
      </c>
      <c r="N54" s="140">
        <v>0</v>
      </c>
      <c r="O54" s="140">
        <v>0</v>
      </c>
      <c r="P54" s="140">
        <v>0</v>
      </c>
      <c r="Q54" s="140">
        <v>0</v>
      </c>
      <c r="R54" s="140">
        <v>0</v>
      </c>
      <c r="T54" s="8"/>
      <c r="U54" s="176"/>
      <c r="V54" s="176"/>
      <c r="W54" s="176"/>
      <c r="X54" s="176"/>
      <c r="Y54" s="176"/>
      <c r="Z54" s="176"/>
      <c r="AA54" s="176"/>
      <c r="AB54" s="176"/>
      <c r="AC54" s="176"/>
      <c r="AD54" s="176"/>
    </row>
    <row r="55" spans="1:31" x14ac:dyDescent="0.2">
      <c r="A55" s="137" t="s">
        <v>39</v>
      </c>
      <c r="B55" s="138" t="s">
        <v>118</v>
      </c>
      <c r="D55" s="154">
        <f>'Balance Sheet- Historic'!C39</f>
        <v>1109</v>
      </c>
      <c r="E55" s="154">
        <f>'Balance Sheet- Historic'!D39</f>
        <v>2497</v>
      </c>
      <c r="F55" s="154">
        <f>'Balance Sheet- Historic'!E39</f>
        <v>1845</v>
      </c>
      <c r="G55" s="154">
        <f>'Balance Sheet- Historic'!F39</f>
        <v>1461</v>
      </c>
      <c r="H55" s="154">
        <f>'Balance Sheet- Historic'!G39</f>
        <v>2040</v>
      </c>
      <c r="I55" s="140">
        <f>H55</f>
        <v>2040</v>
      </c>
      <c r="J55" s="140">
        <f t="shared" ref="J55:R56" si="22">I55</f>
        <v>2040</v>
      </c>
      <c r="K55" s="140">
        <f t="shared" si="22"/>
        <v>2040</v>
      </c>
      <c r="L55" s="140">
        <f t="shared" si="22"/>
        <v>2040</v>
      </c>
      <c r="M55" s="140">
        <f t="shared" si="22"/>
        <v>2040</v>
      </c>
      <c r="N55" s="140">
        <f t="shared" si="22"/>
        <v>2040</v>
      </c>
      <c r="O55" s="140">
        <f t="shared" si="22"/>
        <v>2040</v>
      </c>
      <c r="P55" s="140">
        <f t="shared" si="22"/>
        <v>2040</v>
      </c>
      <c r="Q55" s="140">
        <f t="shared" si="22"/>
        <v>2040</v>
      </c>
      <c r="R55" s="140">
        <f t="shared" si="22"/>
        <v>2040</v>
      </c>
      <c r="U55" s="3"/>
      <c r="V55" s="3"/>
      <c r="W55" s="3"/>
      <c r="X55" s="3"/>
      <c r="Y55" s="3"/>
      <c r="Z55" s="3"/>
      <c r="AA55" s="3"/>
      <c r="AB55" s="3"/>
      <c r="AC55" s="3"/>
      <c r="AD55" s="3"/>
    </row>
    <row r="56" spans="1:31" x14ac:dyDescent="0.2">
      <c r="A56" s="137" t="s">
        <v>40</v>
      </c>
      <c r="B56" s="138" t="s">
        <v>118</v>
      </c>
      <c r="D56" s="154">
        <f>'Balance Sheet- Historic'!C40</f>
        <v>160</v>
      </c>
      <c r="E56" s="154">
        <f>'Balance Sheet- Historic'!D40</f>
        <v>441</v>
      </c>
      <c r="F56" s="154">
        <f>'Balance Sheet- Historic'!E40</f>
        <v>424</v>
      </c>
      <c r="G56" s="154">
        <f>'Balance Sheet- Historic'!F40</f>
        <v>917</v>
      </c>
      <c r="H56" s="154">
        <f>'Balance Sheet- Historic'!G40</f>
        <v>1405</v>
      </c>
      <c r="I56" s="140">
        <f>H56</f>
        <v>1405</v>
      </c>
      <c r="J56" s="140">
        <f t="shared" si="22"/>
        <v>1405</v>
      </c>
      <c r="K56" s="140">
        <f t="shared" si="22"/>
        <v>1405</v>
      </c>
      <c r="L56" s="140">
        <f t="shared" si="22"/>
        <v>1405</v>
      </c>
      <c r="M56" s="140">
        <f t="shared" si="22"/>
        <v>1405</v>
      </c>
      <c r="N56" s="140">
        <f t="shared" si="22"/>
        <v>1405</v>
      </c>
      <c r="O56" s="140">
        <f t="shared" si="22"/>
        <v>1405</v>
      </c>
      <c r="P56" s="140">
        <f t="shared" si="22"/>
        <v>1405</v>
      </c>
      <c r="Q56" s="140">
        <f t="shared" si="22"/>
        <v>1405</v>
      </c>
      <c r="R56" s="140">
        <f t="shared" si="22"/>
        <v>1405</v>
      </c>
      <c r="U56" s="3"/>
      <c r="V56" s="3"/>
      <c r="W56" s="3"/>
      <c r="X56" s="3"/>
      <c r="Y56" s="3"/>
      <c r="Z56" s="3"/>
      <c r="AA56" s="3"/>
      <c r="AB56" s="3"/>
      <c r="AC56" s="3"/>
      <c r="AD56" s="3"/>
    </row>
    <row r="57" spans="1:31" x14ac:dyDescent="0.2">
      <c r="A57" s="150" t="s">
        <v>11</v>
      </c>
      <c r="B57" s="151" t="s">
        <v>118</v>
      </c>
      <c r="C57" s="152"/>
      <c r="D57" s="153">
        <f>SUM(D53:D56)</f>
        <v>12793</v>
      </c>
      <c r="E57" s="153">
        <v>3544</v>
      </c>
      <c r="F57" s="153">
        <v>3343</v>
      </c>
      <c r="G57" s="153">
        <v>4068</v>
      </c>
      <c r="H57" s="153">
        <v>7014</v>
      </c>
      <c r="I57" s="146">
        <f>SUM(I53:I56)</f>
        <v>3445</v>
      </c>
      <c r="J57" s="146">
        <f t="shared" ref="J57:R57" si="23">SUM(J53:J56)</f>
        <v>3445</v>
      </c>
      <c r="K57" s="146">
        <f t="shared" si="23"/>
        <v>3445</v>
      </c>
      <c r="L57" s="146">
        <f t="shared" si="23"/>
        <v>3445</v>
      </c>
      <c r="M57" s="146">
        <f t="shared" si="23"/>
        <v>3445</v>
      </c>
      <c r="N57" s="146">
        <f t="shared" si="23"/>
        <v>3445</v>
      </c>
      <c r="O57" s="146">
        <f t="shared" si="23"/>
        <v>3445</v>
      </c>
      <c r="P57" s="146">
        <f t="shared" si="23"/>
        <v>3445</v>
      </c>
      <c r="Q57" s="146">
        <f t="shared" si="23"/>
        <v>3445</v>
      </c>
      <c r="R57" s="146">
        <f t="shared" si="23"/>
        <v>3445</v>
      </c>
      <c r="T57" s="8"/>
      <c r="U57" s="176"/>
      <c r="V57" s="176"/>
      <c r="W57" s="176"/>
      <c r="X57" s="176"/>
      <c r="Y57" s="176"/>
      <c r="Z57" s="176"/>
      <c r="AA57" s="176"/>
      <c r="AB57" s="176"/>
      <c r="AC57" s="176"/>
      <c r="AD57" s="176"/>
    </row>
    <row r="58" spans="1:31" x14ac:dyDescent="0.2">
      <c r="A58" s="137" t="s">
        <v>295</v>
      </c>
      <c r="B58" s="138" t="s">
        <v>118</v>
      </c>
      <c r="D58" s="139">
        <f>'Balance Sheet- Historic'!C44</f>
        <v>17</v>
      </c>
      <c r="E58" s="139">
        <f>'Balance Sheet- Historic'!D44</f>
        <v>0</v>
      </c>
      <c r="F58" s="139">
        <f>'Balance Sheet- Historic'!E44</f>
        <v>0</v>
      </c>
      <c r="G58" s="139">
        <f>'Balance Sheet- Historic'!F44</f>
        <v>7741</v>
      </c>
      <c r="H58" s="139">
        <f>'Balance Sheet- Historic'!G44</f>
        <v>57485</v>
      </c>
      <c r="I58" s="140">
        <f>'Working '!M117</f>
        <v>57485</v>
      </c>
      <c r="J58" s="140">
        <f>'Working '!N117</f>
        <v>57485</v>
      </c>
      <c r="K58" s="140">
        <f>'Working '!O117</f>
        <v>57485</v>
      </c>
      <c r="L58" s="140">
        <f>'Working '!P117</f>
        <v>57485</v>
      </c>
      <c r="M58" s="140">
        <f>'Working '!Q117</f>
        <v>57485</v>
      </c>
      <c r="N58" s="140">
        <f>'Working '!R117</f>
        <v>57485</v>
      </c>
      <c r="O58" s="140">
        <f>'Working '!S117</f>
        <v>57485</v>
      </c>
      <c r="P58" s="140">
        <f>'Working '!T117</f>
        <v>57485</v>
      </c>
      <c r="Q58" s="140">
        <f>'Working '!U117</f>
        <v>57485</v>
      </c>
      <c r="R58" s="140">
        <f>'Working '!V117</f>
        <v>57485</v>
      </c>
      <c r="T58" s="8"/>
      <c r="U58" s="176"/>
      <c r="V58" s="176"/>
      <c r="W58" s="176"/>
      <c r="X58" s="176"/>
      <c r="Y58" s="176"/>
      <c r="Z58" s="176"/>
      <c r="AA58" s="176"/>
      <c r="AB58" s="176"/>
      <c r="AC58" s="176"/>
      <c r="AD58" s="176"/>
    </row>
    <row r="59" spans="1:31" x14ac:dyDescent="0.2">
      <c r="A59" s="137" t="s">
        <v>296</v>
      </c>
      <c r="B59" s="138" t="s">
        <v>118</v>
      </c>
      <c r="D59" s="139" t="str">
        <f>'Balance Sheet- Historic'!C45</f>
        <v>—</v>
      </c>
      <c r="E59" s="139">
        <f>'Balance Sheet- Historic'!D45</f>
        <v>368</v>
      </c>
      <c r="F59" s="139">
        <f>'Balance Sheet- Historic'!E45</f>
        <v>488</v>
      </c>
      <c r="G59" s="139">
        <f>'Balance Sheet- Historic'!F45</f>
        <v>772</v>
      </c>
      <c r="H59" s="139">
        <f>'Balance Sheet- Historic'!G45</f>
        <v>944</v>
      </c>
      <c r="I59" s="140">
        <f>'Working '!M124</f>
        <v>5415.5999999999995</v>
      </c>
      <c r="J59" s="140">
        <f>'Working '!N124</f>
        <v>6498.7199999999993</v>
      </c>
      <c r="K59" s="140">
        <f>'Working '!O124</f>
        <v>7603.6639999999998</v>
      </c>
      <c r="L59" s="140">
        <f>'Working '!P124</f>
        <v>8811.996799999999</v>
      </c>
      <c r="M59" s="140">
        <f>'Working '!Q124</f>
        <v>10081.996159999999</v>
      </c>
      <c r="N59" s="140">
        <f>'Working '!R124</f>
        <v>11195.795391999998</v>
      </c>
      <c r="O59" s="140">
        <f>'Working '!S124</f>
        <v>12351.834470399999</v>
      </c>
      <c r="P59" s="140">
        <f>'Working '!T124</f>
        <v>13522.45736448</v>
      </c>
      <c r="Q59" s="140">
        <f>'Working '!U124</f>
        <v>14706.216037376</v>
      </c>
      <c r="R59" s="140">
        <f>'Working '!V124</f>
        <v>15885.0598848512</v>
      </c>
      <c r="U59" s="3"/>
      <c r="V59" s="3"/>
      <c r="W59" s="3"/>
      <c r="X59" s="3"/>
      <c r="Y59" s="3"/>
      <c r="Z59" s="3"/>
      <c r="AA59" s="3"/>
      <c r="AB59" s="3"/>
      <c r="AC59" s="3"/>
      <c r="AD59" s="3"/>
    </row>
    <row r="60" spans="1:31" x14ac:dyDescent="0.2">
      <c r="A60" s="137" t="s">
        <v>297</v>
      </c>
      <c r="B60" s="138" t="s">
        <v>118</v>
      </c>
      <c r="D60" s="139">
        <v>61808</v>
      </c>
      <c r="E60" s="139">
        <v>63800</v>
      </c>
      <c r="F60" s="139">
        <v>71698</v>
      </c>
      <c r="G60" s="139">
        <v>94845</v>
      </c>
      <c r="H60" s="139">
        <v>114955</v>
      </c>
      <c r="I60" s="140">
        <f>'Working '!M82</f>
        <v>110042.49296274887</v>
      </c>
      <c r="J60" s="140">
        <f>'Working '!N82</f>
        <v>115451.36928652013</v>
      </c>
      <c r="K60" s="140">
        <f>'Working '!O82</f>
        <v>116650.24289796071</v>
      </c>
      <c r="L60" s="140">
        <f>'Working '!P82</f>
        <v>119727.90394388938</v>
      </c>
      <c r="M60" s="140">
        <f>'Working '!Q82</f>
        <v>121981.33896766033</v>
      </c>
      <c r="N60" s="140">
        <f>'Working '!R82</f>
        <v>124283.20788271117</v>
      </c>
      <c r="O60" s="140">
        <f>'Working '!S82</f>
        <v>130760.53627168032</v>
      </c>
      <c r="P60" s="140">
        <f>'Working '!T82</f>
        <v>138330.31745365457</v>
      </c>
      <c r="Q60" s="140">
        <f>'Working '!U82</f>
        <v>145246.83332633731</v>
      </c>
      <c r="R60" s="140">
        <f>'Working '!V82</f>
        <v>152509.17499265418</v>
      </c>
      <c r="X60" s="3"/>
      <c r="Y60" s="3"/>
      <c r="Z60" s="3"/>
      <c r="AA60" s="3"/>
      <c r="AB60" s="3"/>
      <c r="AC60" s="3"/>
      <c r="AD60" s="3"/>
    </row>
    <row r="61" spans="1:31" x14ac:dyDescent="0.2">
      <c r="A61" s="137" t="s">
        <v>39</v>
      </c>
      <c r="B61" s="138"/>
      <c r="D61" s="139">
        <f>'Balance Sheet- Historic'!C48</f>
        <v>68177</v>
      </c>
      <c r="E61" s="139">
        <f>'Balance Sheet- Historic'!D48</f>
        <v>55810</v>
      </c>
      <c r="F61" s="139">
        <f>'Balance Sheet- Historic'!E48</f>
        <v>77835</v>
      </c>
      <c r="G61" s="139">
        <f>'Balance Sheet- Historic'!F48</f>
        <v>86664</v>
      </c>
      <c r="H61" s="139">
        <f>'Balance Sheet- Historic'!G48</f>
        <v>100578</v>
      </c>
      <c r="I61" s="140">
        <f t="shared" ref="I61:R61" si="24">I8*5.1%</f>
        <v>105912.40277999999</v>
      </c>
      <c r="J61" s="140">
        <f t="shared" si="24"/>
        <v>113326.2709746</v>
      </c>
      <c r="K61" s="140">
        <f t="shared" si="24"/>
        <v>120692.47858794901</v>
      </c>
      <c r="L61" s="140">
        <f t="shared" si="24"/>
        <v>128537.48969616569</v>
      </c>
      <c r="M61" s="140">
        <f t="shared" si="24"/>
        <v>136249.73907793566</v>
      </c>
      <c r="N61" s="140">
        <f t="shared" si="24"/>
        <v>144424.7234226118</v>
      </c>
      <c r="O61" s="140">
        <f t="shared" si="24"/>
        <v>152368.08321085543</v>
      </c>
      <c r="P61" s="140">
        <f t="shared" si="24"/>
        <v>160748.32778745249</v>
      </c>
      <c r="Q61" s="140">
        <f t="shared" si="24"/>
        <v>168785.7441768251</v>
      </c>
      <c r="R61" s="140">
        <f t="shared" si="24"/>
        <v>177225.03138566637</v>
      </c>
      <c r="U61" s="3"/>
      <c r="V61" s="3"/>
      <c r="W61" s="3"/>
      <c r="X61" s="3"/>
      <c r="Y61" s="3"/>
      <c r="Z61" s="3"/>
      <c r="AA61" s="3"/>
      <c r="AB61" s="3"/>
      <c r="AC61" s="3"/>
      <c r="AD61" s="3"/>
    </row>
    <row r="62" spans="1:31" x14ac:dyDescent="0.2">
      <c r="A62" s="137" t="s">
        <v>45</v>
      </c>
      <c r="B62" s="138" t="s">
        <v>118</v>
      </c>
      <c r="D62" s="139">
        <v>74710</v>
      </c>
      <c r="E62" s="139">
        <v>67261</v>
      </c>
      <c r="F62" s="139">
        <v>67518</v>
      </c>
      <c r="G62" s="139">
        <v>83327</v>
      </c>
      <c r="H62" s="139">
        <v>94769</v>
      </c>
      <c r="I62" s="180">
        <f>AVERAGE(D62:H62)</f>
        <v>77517</v>
      </c>
      <c r="J62" s="180">
        <f t="shared" ref="J62:R62" si="25">AVERAGE(E62:I62)</f>
        <v>78078.399999999994</v>
      </c>
      <c r="K62" s="180">
        <f t="shared" si="25"/>
        <v>80241.88</v>
      </c>
      <c r="L62" s="180">
        <f t="shared" si="25"/>
        <v>82786.656000000003</v>
      </c>
      <c r="M62" s="180">
        <f t="shared" si="25"/>
        <v>82678.587200000009</v>
      </c>
      <c r="N62" s="180">
        <f t="shared" si="25"/>
        <v>80260.504639999999</v>
      </c>
      <c r="O62" s="180">
        <f t="shared" si="25"/>
        <v>80809.205568000005</v>
      </c>
      <c r="P62" s="180">
        <f t="shared" si="25"/>
        <v>81355.366681600019</v>
      </c>
      <c r="Q62" s="180">
        <f t="shared" si="25"/>
        <v>81578.064017920013</v>
      </c>
      <c r="R62" s="180">
        <f t="shared" si="25"/>
        <v>81336.345621504006</v>
      </c>
      <c r="U62" s="176"/>
      <c r="V62" s="176"/>
      <c r="W62" s="176"/>
      <c r="X62" s="176"/>
      <c r="Y62" s="176"/>
      <c r="Z62" s="176"/>
      <c r="AA62" s="176"/>
      <c r="AB62" s="176"/>
      <c r="AC62" s="176"/>
      <c r="AD62" s="176"/>
    </row>
    <row r="63" spans="1:31" x14ac:dyDescent="0.2">
      <c r="A63" s="137" t="s">
        <v>298</v>
      </c>
      <c r="B63" s="138" t="s">
        <v>118</v>
      </c>
      <c r="D63" s="139">
        <v>9108</v>
      </c>
      <c r="E63" s="139">
        <v>10222</v>
      </c>
      <c r="F63" s="139">
        <v>10207</v>
      </c>
      <c r="G63" s="139">
        <v>9564</v>
      </c>
      <c r="H63" s="139">
        <v>9570</v>
      </c>
      <c r="I63" s="140">
        <v>0</v>
      </c>
      <c r="J63" s="140">
        <v>0</v>
      </c>
      <c r="K63" s="140">
        <v>0</v>
      </c>
      <c r="L63" s="140">
        <v>0</v>
      </c>
      <c r="M63" s="140">
        <v>0</v>
      </c>
      <c r="N63" s="140">
        <v>0</v>
      </c>
      <c r="O63" s="140">
        <v>0</v>
      </c>
      <c r="P63" s="140">
        <v>0</v>
      </c>
      <c r="Q63" s="140">
        <v>0</v>
      </c>
      <c r="R63" s="140">
        <v>0</v>
      </c>
      <c r="U63" s="176"/>
      <c r="V63" s="176"/>
      <c r="W63" s="176"/>
      <c r="X63" s="176"/>
      <c r="Y63" s="176"/>
      <c r="Z63" s="176"/>
      <c r="AA63" s="176"/>
      <c r="AB63" s="176"/>
      <c r="AC63" s="176"/>
      <c r="AD63" s="176"/>
    </row>
    <row r="64" spans="1:31" x14ac:dyDescent="0.2">
      <c r="A64" s="148" t="s">
        <v>12</v>
      </c>
      <c r="B64" s="138" t="s">
        <v>118</v>
      </c>
      <c r="D64" s="143">
        <f>'Balance Sheet- Historic'!C51</f>
        <v>213820</v>
      </c>
      <c r="E64" s="143">
        <f>'Balance Sheet- Historic'!D51</f>
        <v>197461</v>
      </c>
      <c r="F64" s="143">
        <f>'Balance Sheet- Historic'!E51</f>
        <v>227746</v>
      </c>
      <c r="G64" s="143">
        <f>'Balance Sheet- Historic'!F51</f>
        <v>282913</v>
      </c>
      <c r="H64" s="143">
        <f>'Balance Sheet- Historic'!G51</f>
        <v>378301</v>
      </c>
      <c r="I64" s="146">
        <f>SUM(I58:I63)</f>
        <v>356372.49574274884</v>
      </c>
      <c r="J64" s="146">
        <f t="shared" ref="J64:R64" si="26">SUM(J58:J63)</f>
        <v>370839.76026112016</v>
      </c>
      <c r="K64" s="146">
        <f t="shared" si="26"/>
        <v>382673.26548590971</v>
      </c>
      <c r="L64" s="146">
        <f t="shared" si="26"/>
        <v>397349.04644005507</v>
      </c>
      <c r="M64" s="146">
        <f t="shared" si="26"/>
        <v>408476.66140559601</v>
      </c>
      <c r="N64" s="146">
        <f t="shared" si="26"/>
        <v>417649.23133732297</v>
      </c>
      <c r="O64" s="146">
        <f t="shared" si="26"/>
        <v>433774.65952093573</v>
      </c>
      <c r="P64" s="146">
        <f t="shared" si="26"/>
        <v>451441.46928718709</v>
      </c>
      <c r="Q64" s="146">
        <f t="shared" si="26"/>
        <v>467801.8575584584</v>
      </c>
      <c r="R64" s="146">
        <f t="shared" si="26"/>
        <v>484440.6118846758</v>
      </c>
      <c r="U64" s="3"/>
      <c r="V64" s="3"/>
      <c r="W64" s="3"/>
      <c r="X64" s="3"/>
      <c r="Y64" s="3"/>
      <c r="Z64" s="3"/>
      <c r="AA64" s="3"/>
      <c r="AB64" s="3"/>
      <c r="AC64" s="3"/>
      <c r="AD64" s="3"/>
    </row>
    <row r="65" spans="1:18" x14ac:dyDescent="0.2">
      <c r="A65" s="148" t="s">
        <v>46</v>
      </c>
      <c r="B65" s="138" t="s">
        <v>118</v>
      </c>
      <c r="D65" s="143">
        <f>'Balance Sheet- Historic'!C52</f>
        <v>226613</v>
      </c>
      <c r="E65" s="143">
        <f>'Balance Sheet- Historic'!D52</f>
        <v>201005</v>
      </c>
      <c r="F65" s="143">
        <f>'Balance Sheet- Historic'!E52</f>
        <v>231089</v>
      </c>
      <c r="G65" s="143">
        <f>'Balance Sheet- Historic'!F52</f>
        <v>286981</v>
      </c>
      <c r="H65" s="143">
        <f>'Balance Sheet- Historic'!G52</f>
        <v>385315</v>
      </c>
      <c r="I65" s="146">
        <f>SUM(I64,I57)</f>
        <v>359817.49574274884</v>
      </c>
      <c r="J65" s="146">
        <f t="shared" ref="J65:R65" si="27">SUM(J64,J57)</f>
        <v>374284.76026112016</v>
      </c>
      <c r="K65" s="146">
        <f t="shared" si="27"/>
        <v>386118.26548590971</v>
      </c>
      <c r="L65" s="146">
        <f t="shared" si="27"/>
        <v>400794.04644005507</v>
      </c>
      <c r="M65" s="146">
        <f t="shared" si="27"/>
        <v>411921.66140559601</v>
      </c>
      <c r="N65" s="146">
        <f t="shared" si="27"/>
        <v>421094.23133732297</v>
      </c>
      <c r="O65" s="146">
        <f t="shared" si="27"/>
        <v>437219.65952093573</v>
      </c>
      <c r="P65" s="146">
        <f t="shared" si="27"/>
        <v>454886.46928718709</v>
      </c>
      <c r="Q65" s="146">
        <f t="shared" si="27"/>
        <v>471246.8575584584</v>
      </c>
      <c r="R65" s="146">
        <f t="shared" si="27"/>
        <v>487885.6118846758</v>
      </c>
    </row>
    <row r="66" spans="1:18" x14ac:dyDescent="0.2">
      <c r="A66" s="172" t="s">
        <v>47</v>
      </c>
      <c r="B66" s="173" t="s">
        <v>118</v>
      </c>
      <c r="C66" s="174"/>
      <c r="D66" s="171">
        <f>'Balance Sheet- Historic'!C53</f>
        <v>585216</v>
      </c>
      <c r="E66" s="171">
        <f>'Balance Sheet- Historic'!D53</f>
        <v>594931</v>
      </c>
      <c r="F66" s="171">
        <f>'Balance Sheet- Historic'!E53</f>
        <v>628039</v>
      </c>
      <c r="G66" s="171">
        <f>'Balance Sheet- Historic'!F53</f>
        <v>705337</v>
      </c>
      <c r="H66" s="171">
        <f>'Balance Sheet- Historic'!G53</f>
        <v>822279</v>
      </c>
      <c r="I66" s="171">
        <f>SUM(I65,I52)</f>
        <v>814710.03611614299</v>
      </c>
      <c r="J66" s="171">
        <f t="shared" ref="J66:R66" si="28">SUM(J65,J52)</f>
        <v>851783.88690084568</v>
      </c>
      <c r="K66" s="171">
        <f t="shared" si="28"/>
        <v>901991.91199550172</v>
      </c>
      <c r="L66" s="171">
        <f t="shared" si="28"/>
        <v>970424.39335917449</v>
      </c>
      <c r="M66" s="171">
        <f t="shared" si="28"/>
        <v>1051828.7172089536</v>
      </c>
      <c r="N66" s="171">
        <f t="shared" si="28"/>
        <v>1149212.0230793864</v>
      </c>
      <c r="O66" s="171">
        <f t="shared" si="28"/>
        <v>1267265.5088622251</v>
      </c>
      <c r="P66" s="171">
        <f t="shared" si="28"/>
        <v>1401651.625286665</v>
      </c>
      <c r="Q66" s="171">
        <f t="shared" si="28"/>
        <v>1550039.3197984102</v>
      </c>
      <c r="R66" s="171">
        <f t="shared" si="28"/>
        <v>1715075.5322404518</v>
      </c>
    </row>
    <row r="67" spans="1:18" x14ac:dyDescent="0.2">
      <c r="A67" s="172"/>
      <c r="B67" s="173"/>
      <c r="C67" s="174"/>
      <c r="D67" s="171">
        <f>D47-D66</f>
        <v>0</v>
      </c>
      <c r="E67" s="171">
        <f t="shared" ref="E67:H67" si="29">E47-E66</f>
        <v>0</v>
      </c>
      <c r="F67" s="171">
        <f t="shared" si="29"/>
        <v>0</v>
      </c>
      <c r="G67" s="171">
        <f t="shared" si="29"/>
        <v>0</v>
      </c>
      <c r="H67" s="171">
        <f t="shared" si="29"/>
        <v>0</v>
      </c>
      <c r="I67" s="171">
        <f>I47-I66</f>
        <v>3.3419642131775618E-3</v>
      </c>
      <c r="J67" s="171">
        <f t="shared" ref="J67:R67" si="30">J47-J66</f>
        <v>-2925.4646427111002</v>
      </c>
      <c r="K67" s="171">
        <f t="shared" si="30"/>
        <v>-10721.177595284651</v>
      </c>
      <c r="L67" s="171">
        <f t="shared" si="30"/>
        <v>-17628.570724683814</v>
      </c>
      <c r="M67" s="171">
        <f t="shared" si="30"/>
        <v>-24976.280041572172</v>
      </c>
      <c r="N67" s="171">
        <f t="shared" si="30"/>
        <v>-32873.258036461892</v>
      </c>
      <c r="O67" s="171">
        <f t="shared" si="30"/>
        <v>-34586.167102510342</v>
      </c>
      <c r="P67" s="171">
        <f t="shared" si="30"/>
        <v>-36588.385988017311</v>
      </c>
      <c r="Q67" s="171">
        <f t="shared" si="30"/>
        <v>-38418.272740858141</v>
      </c>
      <c r="R67" s="171">
        <f t="shared" si="30"/>
        <v>-40338.898922028951</v>
      </c>
    </row>
    <row r="68" spans="1:18" x14ac:dyDescent="0.2">
      <c r="I68" s="131"/>
      <c r="J68" s="179">
        <f>J67-I67</f>
        <v>-2925.4679846753133</v>
      </c>
      <c r="K68" s="179">
        <f t="shared" ref="K68:R68" si="31">K67-J67</f>
        <v>-7795.7129525735509</v>
      </c>
      <c r="L68" s="179">
        <f t="shared" si="31"/>
        <v>-6907.3931293991627</v>
      </c>
      <c r="M68" s="179">
        <f t="shared" si="31"/>
        <v>-7347.7093168883584</v>
      </c>
      <c r="N68" s="179">
        <f t="shared" si="31"/>
        <v>-7896.9779948897194</v>
      </c>
      <c r="O68" s="179">
        <f t="shared" si="31"/>
        <v>-1712.9090660484508</v>
      </c>
      <c r="P68" s="179">
        <f t="shared" si="31"/>
        <v>-2002.2188855069689</v>
      </c>
      <c r="Q68" s="179">
        <f t="shared" si="31"/>
        <v>-1829.88675284083</v>
      </c>
      <c r="R68" s="179">
        <f t="shared" si="31"/>
        <v>-1920.62618117081</v>
      </c>
    </row>
    <row r="69" spans="1:18" x14ac:dyDescent="0.2">
      <c r="A69" s="267" t="s">
        <v>299</v>
      </c>
      <c r="B69" s="267"/>
      <c r="C69" s="267"/>
      <c r="D69" s="267"/>
      <c r="E69" s="267"/>
      <c r="F69" s="267"/>
      <c r="G69" s="267"/>
      <c r="H69" s="267"/>
      <c r="I69" s="267"/>
      <c r="J69" s="267"/>
      <c r="K69" s="267"/>
      <c r="L69" s="267"/>
      <c r="M69" s="267"/>
      <c r="N69" s="267"/>
      <c r="O69" s="267"/>
      <c r="P69" s="267"/>
      <c r="Q69" s="267"/>
      <c r="R69" s="267"/>
    </row>
    <row r="70" spans="1:18" x14ac:dyDescent="0.2">
      <c r="A70" s="148" t="s">
        <v>231</v>
      </c>
      <c r="B70" s="156" t="s">
        <v>118</v>
      </c>
      <c r="C70" s="157"/>
      <c r="D70" s="158"/>
      <c r="E70" s="158"/>
      <c r="F70" s="158"/>
      <c r="G70" s="158"/>
      <c r="H70" s="158"/>
      <c r="I70" s="146"/>
      <c r="J70" s="146"/>
      <c r="K70" s="146"/>
      <c r="L70" s="146"/>
      <c r="M70" s="146"/>
      <c r="N70" s="146"/>
      <c r="O70" s="146"/>
      <c r="P70" s="146"/>
      <c r="Q70" s="146"/>
      <c r="R70" s="146"/>
    </row>
    <row r="71" spans="1:18" x14ac:dyDescent="0.2">
      <c r="A71" s="137"/>
      <c r="B71" s="157"/>
      <c r="C71" s="157"/>
      <c r="D71" s="158"/>
      <c r="E71" s="158"/>
      <c r="F71" s="158"/>
      <c r="G71" s="158"/>
      <c r="H71" s="158"/>
      <c r="I71" s="140"/>
      <c r="J71" s="140"/>
      <c r="K71" s="140"/>
      <c r="L71" s="140"/>
      <c r="M71" s="140"/>
      <c r="N71" s="140"/>
      <c r="O71" s="140"/>
      <c r="P71" s="140"/>
      <c r="Q71" s="140"/>
      <c r="R71" s="140"/>
    </row>
    <row r="72" spans="1:18" x14ac:dyDescent="0.2">
      <c r="A72" s="137" t="s">
        <v>75</v>
      </c>
      <c r="B72" s="156" t="s">
        <v>118</v>
      </c>
      <c r="C72" s="157"/>
      <c r="D72" s="159">
        <f>'Cash flow-Historic'!B14</f>
        <v>16941</v>
      </c>
      <c r="E72" s="159">
        <f>'Cash flow-Historic'!C14</f>
        <v>49444</v>
      </c>
      <c r="F72" s="159">
        <f>'Cash flow-Historic'!D14</f>
        <v>41731</v>
      </c>
      <c r="G72" s="159">
        <f>'Cash flow-Historic'!E14</f>
        <v>55114</v>
      </c>
      <c r="H72" s="159">
        <f>'Cash flow-Historic'!F14</f>
        <v>60511</v>
      </c>
      <c r="I72" s="146">
        <f t="shared" ref="I72:R72" si="32">I23</f>
        <v>53807.143977773609</v>
      </c>
      <c r="J72" s="146">
        <f t="shared" si="32"/>
        <v>67846.897558017168</v>
      </c>
      <c r="K72" s="146">
        <f t="shared" si="32"/>
        <v>115169.62746058404</v>
      </c>
      <c r="L72" s="146">
        <f t="shared" si="32"/>
        <v>161334.63508261507</v>
      </c>
      <c r="M72" s="146">
        <f t="shared" si="32"/>
        <v>210914.49244969478</v>
      </c>
      <c r="N72" s="146">
        <f t="shared" si="32"/>
        <v>264738.10305734025</v>
      </c>
      <c r="O72" s="146">
        <f t="shared" si="32"/>
        <v>305906.53541184263</v>
      </c>
      <c r="P72" s="146">
        <f t="shared" si="32"/>
        <v>350298.0391902416</v>
      </c>
      <c r="Q72" s="146">
        <f t="shared" si="32"/>
        <v>396240.4148873766</v>
      </c>
      <c r="R72" s="146">
        <f t="shared" si="32"/>
        <v>445370.52255649539</v>
      </c>
    </row>
    <row r="73" spans="1:18" x14ac:dyDescent="0.2">
      <c r="A73" s="137" t="s">
        <v>67</v>
      </c>
      <c r="B73" s="156" t="s">
        <v>118</v>
      </c>
      <c r="C73" s="157"/>
      <c r="D73" s="158">
        <f>'Working '!H48</f>
        <v>23201</v>
      </c>
      <c r="E73" s="158">
        <f>'Working '!I48</f>
        <v>21719</v>
      </c>
      <c r="F73" s="158">
        <f>'Working '!J48</f>
        <v>21059</v>
      </c>
      <c r="G73" s="158">
        <f>'Working '!K48</f>
        <v>21190</v>
      </c>
      <c r="H73" s="158">
        <f>'Working '!L48</f>
        <v>23298</v>
      </c>
      <c r="I73" s="146">
        <f>'Working '!M48</f>
        <v>31361.449178577066</v>
      </c>
      <c r="J73" s="146">
        <f>'Working '!N48</f>
        <v>33556.750621077466</v>
      </c>
      <c r="K73" s="146">
        <f>'Working '!O48</f>
        <v>35737.9394114475</v>
      </c>
      <c r="L73" s="146">
        <f>'Working '!P48</f>
        <v>38060.905473191589</v>
      </c>
      <c r="M73" s="146">
        <f>'Working '!Q48</f>
        <v>40344.559801583091</v>
      </c>
      <c r="N73" s="146">
        <f>'Working '!R48</f>
        <v>42765.233389678084</v>
      </c>
      <c r="O73" s="146">
        <f>'Working '!S48</f>
        <v>45117.321226110369</v>
      </c>
      <c r="P73" s="146">
        <f>'Working '!T48</f>
        <v>47598.773893546437</v>
      </c>
      <c r="Q73" s="146">
        <f>'Working '!U48</f>
        <v>49978.71258822376</v>
      </c>
      <c r="R73" s="146">
        <f>'Working '!V48</f>
        <v>52477.648217634953</v>
      </c>
    </row>
    <row r="74" spans="1:18" x14ac:dyDescent="0.2">
      <c r="A74" s="137" t="s">
        <v>326</v>
      </c>
      <c r="B74" s="156" t="s">
        <v>118</v>
      </c>
      <c r="C74" s="157"/>
      <c r="D74" s="158">
        <f>'Working '!H132</f>
        <v>30114</v>
      </c>
      <c r="E74" s="158">
        <f>'Working '!I132</f>
        <v>67898</v>
      </c>
      <c r="F74" s="164">
        <f>'Working '!J132</f>
        <v>-117321</v>
      </c>
      <c r="G74" s="164">
        <f>'Working '!K132</f>
        <v>-117076</v>
      </c>
      <c r="H74" s="164">
        <f>'Working '!L132</f>
        <v>-100450</v>
      </c>
      <c r="I74" s="165">
        <f>'Working '!M132</f>
        <v>23345</v>
      </c>
      <c r="J74" s="165">
        <f>'Working '!N132</f>
        <v>-38216</v>
      </c>
      <c r="K74" s="165">
        <f>'Working '!O132</f>
        <v>-34306</v>
      </c>
      <c r="L74" s="165">
        <f>'Working '!P132</f>
        <v>-40405</v>
      </c>
      <c r="M74" s="165">
        <f>'Working '!Q132</f>
        <v>-40284</v>
      </c>
      <c r="N74" s="165">
        <f>'Working '!R132</f>
        <v>-45308</v>
      </c>
      <c r="O74" s="165">
        <f>'Working '!S132</f>
        <v>-38544</v>
      </c>
      <c r="P74" s="165">
        <f>'Working '!T132</f>
        <v>-45882</v>
      </c>
      <c r="Q74" s="165">
        <f>'Working '!U132</f>
        <v>-41836</v>
      </c>
      <c r="R74" s="165">
        <f>'Working '!V132</f>
        <v>-44507</v>
      </c>
    </row>
    <row r="75" spans="1:18" x14ac:dyDescent="0.2">
      <c r="A75" s="137" t="s">
        <v>300</v>
      </c>
      <c r="B75" s="156" t="s">
        <v>118</v>
      </c>
      <c r="C75" s="157"/>
      <c r="D75" s="159">
        <v>0</v>
      </c>
      <c r="E75" s="159">
        <f>'Working '!I89</f>
        <v>-36092</v>
      </c>
      <c r="F75" s="159">
        <f>'Working '!J89</f>
        <v>56548</v>
      </c>
      <c r="G75" s="159">
        <f>'Working '!K89</f>
        <v>61598</v>
      </c>
      <c r="H75" s="159">
        <f>'Working '!L89</f>
        <v>59338</v>
      </c>
      <c r="I75" s="146">
        <f>'Working '!M89</f>
        <v>-17222.761591017828</v>
      </c>
      <c r="J75" s="146">
        <f>'Working '!N89</f>
        <v>20623.94257932232</v>
      </c>
      <c r="K75" s="146">
        <f>'Working '!O89</f>
        <v>17064.752388841065</v>
      </c>
      <c r="L75" s="146">
        <f>'Working '!P89</f>
        <v>20899.898776661663</v>
      </c>
      <c r="M75" s="146">
        <f>'Working '!Q89</f>
        <v>19302.807912524731</v>
      </c>
      <c r="N75" s="146">
        <f>'Working '!R89</f>
        <v>20405.638431782252</v>
      </c>
      <c r="O75" s="146">
        <f>'Working '!S89</f>
        <v>21567.533298774681</v>
      </c>
      <c r="P75" s="146">
        <f>'Working '!T89</f>
        <v>25205.068803474598</v>
      </c>
      <c r="Q75" s="146">
        <f>'Working '!U89</f>
        <v>23029.894030018244</v>
      </c>
      <c r="R75" s="146">
        <f>'Working '!V89</f>
        <v>24181.388731519051</v>
      </c>
    </row>
    <row r="76" spans="1:18" x14ac:dyDescent="0.2">
      <c r="A76" s="142" t="s">
        <v>98</v>
      </c>
      <c r="B76" s="156" t="s">
        <v>118</v>
      </c>
      <c r="C76" s="157"/>
      <c r="D76" s="158">
        <f>'Cash flow-Historic'!B37</f>
        <v>70256</v>
      </c>
      <c r="E76" s="158">
        <f>'Cash flow-Historic'!C37</f>
        <v>102969</v>
      </c>
      <c r="F76" s="158">
        <f>'Cash flow-Historic'!D37</f>
        <v>2017</v>
      </c>
      <c r="G76" s="158">
        <f>'Cash flow-Historic'!E37</f>
        <v>20826</v>
      </c>
      <c r="H76" s="158">
        <f>'Cash flow-Historic'!F37</f>
        <v>42697</v>
      </c>
      <c r="I76" s="146">
        <f>SUM('Working '!M130:M133)</f>
        <v>91290.831565332846</v>
      </c>
      <c r="J76" s="146">
        <f>SUM('Working '!N130:N133)</f>
        <v>83811.590758416947</v>
      </c>
      <c r="K76" s="146">
        <f>SUM('Working '!O130:O133)</f>
        <v>133666.31926087261</v>
      </c>
      <c r="L76" s="146">
        <f>SUM('Working '!P130:P133)</f>
        <v>179890.43933246832</v>
      </c>
      <c r="M76" s="146">
        <f>SUM('Working '!Q130:Q133)</f>
        <v>230277.8601638026</v>
      </c>
      <c r="N76" s="146">
        <f>SUM('Working '!R130:R133)</f>
        <v>282600.97487880057</v>
      </c>
      <c r="O76" s="146">
        <f t="shared" ref="O76:R76" si="33">SUM(O72:O75)</f>
        <v>334047.3899367277</v>
      </c>
      <c r="P76" s="146">
        <f t="shared" si="33"/>
        <v>377219.88188726263</v>
      </c>
      <c r="Q76" s="146">
        <f t="shared" si="33"/>
        <v>427413.02150561858</v>
      </c>
      <c r="R76" s="146">
        <f t="shared" si="33"/>
        <v>477522.55950564938</v>
      </c>
    </row>
    <row r="77" spans="1:18" x14ac:dyDescent="0.2">
      <c r="A77" s="137" t="s">
        <v>301</v>
      </c>
      <c r="B77" s="156" t="s">
        <v>118</v>
      </c>
      <c r="C77" s="157"/>
      <c r="D77" s="166">
        <f>'Income Statement-Historic'!C35</f>
        <v>-5558</v>
      </c>
      <c r="E77" s="166">
        <f>'Income Statement-Historic'!D35</f>
        <v>-12836</v>
      </c>
      <c r="F77" s="166">
        <f>'Income Statement-Historic'!E35</f>
        <v>-11263</v>
      </c>
      <c r="G77" s="166">
        <f>'Income Statement-Historic'!F35</f>
        <v>-14028</v>
      </c>
      <c r="H77" s="166">
        <f>'Income Statement-Historic'!G35</f>
        <v>-16270</v>
      </c>
      <c r="I77" s="165">
        <f xml:space="preserve"> -I23*Assumptions!$C$107</f>
        <v>-16142.143193332082</v>
      </c>
      <c r="J77" s="165">
        <f xml:space="preserve"> -J23*Assumptions!$C$107</f>
        <v>-20354.06926740515</v>
      </c>
      <c r="K77" s="165">
        <f xml:space="preserve"> -K23*Assumptions!$C$107</f>
        <v>-34550.888238175212</v>
      </c>
      <c r="L77" s="165">
        <f xml:space="preserve"> -L23*Assumptions!$C$107</f>
        <v>-48400.390524784518</v>
      </c>
      <c r="M77" s="165">
        <f xml:space="preserve"> -M23*Assumptions!$C$107</f>
        <v>-63274.347734908428</v>
      </c>
      <c r="N77" s="165">
        <f xml:space="preserve"> -N23*Assumptions!$C$107</f>
        <v>-79421.430917202073</v>
      </c>
      <c r="O77" s="165">
        <f xml:space="preserve"> -O23*Assumptions!$C$107</f>
        <v>-91771.96062355279</v>
      </c>
      <c r="P77" s="165">
        <f xml:space="preserve"> -P23*Assumptions!$C$107</f>
        <v>-105089.41175707248</v>
      </c>
      <c r="Q77" s="165">
        <f xml:space="preserve"> -Q23*Assumptions!$C$107</f>
        <v>-118872.12446621298</v>
      </c>
      <c r="R77" s="165">
        <f xml:space="preserve"> -R23*Assumptions!$C$107</f>
        <v>-133611.15676694861</v>
      </c>
    </row>
    <row r="78" spans="1:18" x14ac:dyDescent="0.2">
      <c r="A78" s="142" t="s">
        <v>302</v>
      </c>
      <c r="B78" s="156" t="s">
        <v>118</v>
      </c>
      <c r="C78" s="157"/>
      <c r="D78" s="158">
        <f>'Cash flow-Historic'!B39</f>
        <v>62028</v>
      </c>
      <c r="E78" s="158">
        <f>'Cash flow-Historic'!C39</f>
        <v>89962</v>
      </c>
      <c r="F78" s="158">
        <f>'Cash flow-Historic'!D39</f>
        <v>-11957</v>
      </c>
      <c r="G78" s="158">
        <f>'Cash flow-Historic'!E39</f>
        <v>6950</v>
      </c>
      <c r="H78" s="158">
        <f>'Cash flow-Historic'!F39</f>
        <v>23505</v>
      </c>
      <c r="I78" s="146">
        <f>'Working '!M135</f>
        <v>75148.688372000761</v>
      </c>
      <c r="J78" s="146">
        <f t="shared" ref="J78:R78" si="34" xml:space="preserve"> J76+J77</f>
        <v>63457.521491011794</v>
      </c>
      <c r="K78" s="146">
        <f t="shared" si="34"/>
        <v>99115.43102269739</v>
      </c>
      <c r="L78" s="146">
        <f t="shared" si="34"/>
        <v>131490.04880768381</v>
      </c>
      <c r="M78" s="146">
        <f t="shared" si="34"/>
        <v>167003.51242889417</v>
      </c>
      <c r="N78" s="146">
        <f t="shared" si="34"/>
        <v>203179.54396159848</v>
      </c>
      <c r="O78" s="146">
        <f t="shared" si="34"/>
        <v>242275.42931317491</v>
      </c>
      <c r="P78" s="146">
        <f t="shared" si="34"/>
        <v>272130.47013019014</v>
      </c>
      <c r="Q78" s="146">
        <f t="shared" si="34"/>
        <v>308540.89703940559</v>
      </c>
      <c r="R78" s="146">
        <f t="shared" si="34"/>
        <v>343911.40273870074</v>
      </c>
    </row>
    <row r="79" spans="1:18" x14ac:dyDescent="0.2">
      <c r="A79" s="137"/>
      <c r="B79" s="156" t="s">
        <v>118</v>
      </c>
      <c r="C79" s="157"/>
      <c r="D79" s="158"/>
      <c r="E79" s="158"/>
      <c r="F79" s="158"/>
      <c r="G79" s="158"/>
      <c r="H79" s="158"/>
      <c r="I79" s="146"/>
      <c r="J79" s="146"/>
      <c r="K79" s="146"/>
      <c r="L79" s="146"/>
      <c r="M79" s="146"/>
      <c r="N79" s="146"/>
      <c r="O79" s="146"/>
      <c r="P79" s="146"/>
      <c r="Q79" s="146"/>
      <c r="R79" s="146"/>
    </row>
    <row r="80" spans="1:18" x14ac:dyDescent="0.2">
      <c r="A80" s="137"/>
      <c r="B80" s="156" t="s">
        <v>118</v>
      </c>
      <c r="C80" s="157"/>
      <c r="D80" s="159"/>
      <c r="E80" s="159"/>
      <c r="F80" s="159"/>
      <c r="G80" s="159"/>
      <c r="H80" s="159"/>
      <c r="I80" s="146"/>
      <c r="J80" s="146"/>
      <c r="K80" s="146"/>
      <c r="L80" s="146"/>
      <c r="M80" s="146"/>
      <c r="N80" s="146"/>
      <c r="O80" s="146"/>
      <c r="P80" s="146"/>
      <c r="Q80" s="146"/>
      <c r="R80" s="146"/>
    </row>
    <row r="81" spans="1:18" x14ac:dyDescent="0.2">
      <c r="A81" s="148" t="s">
        <v>253</v>
      </c>
      <c r="B81" s="156" t="s">
        <v>118</v>
      </c>
      <c r="C81" s="157"/>
      <c r="D81" s="158"/>
      <c r="E81" s="158"/>
      <c r="F81" s="158"/>
      <c r="G81" s="158"/>
      <c r="H81" s="158"/>
      <c r="I81" s="146"/>
      <c r="J81" s="146"/>
      <c r="K81" s="146"/>
      <c r="L81" s="146"/>
      <c r="M81" s="146"/>
      <c r="N81" s="146"/>
      <c r="O81" s="146"/>
      <c r="P81" s="146"/>
      <c r="Q81" s="146"/>
      <c r="R81" s="146"/>
    </row>
    <row r="82" spans="1:18" x14ac:dyDescent="0.2">
      <c r="A82" s="137"/>
      <c r="B82" s="156" t="s">
        <v>118</v>
      </c>
      <c r="C82" s="157"/>
      <c r="D82" s="158"/>
      <c r="E82" s="158"/>
      <c r="F82" s="158"/>
      <c r="G82" s="158"/>
      <c r="H82" s="158"/>
      <c r="I82" s="146"/>
      <c r="J82" s="146"/>
      <c r="K82" s="146"/>
      <c r="L82" s="146"/>
      <c r="M82" s="146"/>
      <c r="N82" s="146"/>
      <c r="O82" s="146"/>
      <c r="P82" s="146"/>
      <c r="Q82" s="146"/>
      <c r="R82" s="146"/>
    </row>
    <row r="83" spans="1:18" x14ac:dyDescent="0.2">
      <c r="A83" s="137" t="s">
        <v>141</v>
      </c>
      <c r="B83" s="156" t="s">
        <v>118</v>
      </c>
      <c r="C83" s="157"/>
      <c r="D83" s="164">
        <f>'Working '!H93</f>
        <v>-20282</v>
      </c>
      <c r="E83" s="164">
        <f>'Working '!I93</f>
        <v>-16174</v>
      </c>
      <c r="F83" s="164">
        <f>'Working '!J93</f>
        <v>-11595</v>
      </c>
      <c r="G83" s="164">
        <f>'Working '!K93</f>
        <v>-23200</v>
      </c>
      <c r="H83" s="164">
        <f>'Working '!L93</f>
        <v>-28703</v>
      </c>
      <c r="I83" s="165">
        <f>'Working '!M93</f>
        <v>-27666.509099693947</v>
      </c>
      <c r="J83" s="165">
        <f>'Working '!N93</f>
        <v>-29603.16473667253</v>
      </c>
      <c r="K83" s="165">
        <f>'Working '!O93</f>
        <v>-31527.370444556243</v>
      </c>
      <c r="L83" s="165">
        <f>'Working '!P93</f>
        <v>-33576.649523452397</v>
      </c>
      <c r="M83" s="165">
        <f>'Working '!Q93</f>
        <v>-35591.248494859545</v>
      </c>
      <c r="N83" s="165">
        <f>'Working '!R93</f>
        <v>-37726.723404551129</v>
      </c>
      <c r="O83" s="165">
        <f>'Working '!S93</f>
        <v>-39801.693191801431</v>
      </c>
      <c r="P83" s="165">
        <f>'Working '!T93</f>
        <v>-41990.78631735051</v>
      </c>
      <c r="Q83" s="165">
        <f>'Working '!U93</f>
        <v>-44090.325633218032</v>
      </c>
      <c r="R83" s="165">
        <f>'Working '!V93</f>
        <v>-46294.84191487894</v>
      </c>
    </row>
    <row r="84" spans="1:18" x14ac:dyDescent="0.2">
      <c r="A84" s="137" t="s">
        <v>311</v>
      </c>
      <c r="B84" s="156" t="s">
        <v>118</v>
      </c>
      <c r="C84" s="157"/>
      <c r="D84" s="158">
        <f>'Cash flow-Historic'!B49-'Cash flow-Historic'!B42</f>
        <v>4911</v>
      </c>
      <c r="E84" s="158">
        <f>'Cash flow-Historic'!C49-'Cash flow-Historic'!C42</f>
        <v>1348</v>
      </c>
      <c r="F84" s="158">
        <f>'Cash flow-Historic'!D49-'Cash flow-Historic'!D42</f>
        <v>3545</v>
      </c>
      <c r="G84" s="158">
        <f>'Cash flow-Historic'!E49-'Cash flow-Historic'!E42</f>
        <v>4369</v>
      </c>
      <c r="H84" s="158">
        <f>'Cash flow-Historic'!F49-'Cash flow-Historic'!F42</f>
        <v>1888</v>
      </c>
      <c r="I84" s="163">
        <v>0</v>
      </c>
      <c r="J84" s="163">
        <v>0</v>
      </c>
      <c r="K84" s="163">
        <v>0</v>
      </c>
      <c r="L84" s="163">
        <v>0</v>
      </c>
      <c r="M84" s="163">
        <v>0</v>
      </c>
      <c r="N84" s="163">
        <v>0</v>
      </c>
      <c r="O84" s="163">
        <v>0</v>
      </c>
      <c r="P84" s="163">
        <v>0</v>
      </c>
      <c r="Q84" s="163">
        <v>0</v>
      </c>
      <c r="R84" s="163">
        <v>0</v>
      </c>
    </row>
    <row r="85" spans="1:18" x14ac:dyDescent="0.2">
      <c r="A85" s="142" t="s">
        <v>303</v>
      </c>
      <c r="B85" s="156" t="s">
        <v>118</v>
      </c>
      <c r="C85" s="157"/>
      <c r="D85" s="166">
        <f>'Cash flow-Historic'!B49</f>
        <v>-15155</v>
      </c>
      <c r="E85" s="166">
        <f>'Cash flow-Historic'!C49</f>
        <v>-16007</v>
      </c>
      <c r="F85" s="166">
        <f>'Cash flow-Historic'!D49</f>
        <v>-12083</v>
      </c>
      <c r="G85" s="166">
        <f>'Cash flow-Historic'!E49</f>
        <v>-14781</v>
      </c>
      <c r="H85" s="166">
        <f>'Cash flow-Historic'!F49</f>
        <v>-23942</v>
      </c>
      <c r="I85" s="165">
        <f>SUM(I83:I84)</f>
        <v>-27666.509099693947</v>
      </c>
      <c r="J85" s="165">
        <f t="shared" ref="J85:R85" si="35">SUM(J83:J84)</f>
        <v>-29603.16473667253</v>
      </c>
      <c r="K85" s="165">
        <f t="shared" si="35"/>
        <v>-31527.370444556243</v>
      </c>
      <c r="L85" s="165">
        <f t="shared" si="35"/>
        <v>-33576.649523452397</v>
      </c>
      <c r="M85" s="165">
        <f t="shared" si="35"/>
        <v>-35591.248494859545</v>
      </c>
      <c r="N85" s="165">
        <f t="shared" si="35"/>
        <v>-37726.723404551129</v>
      </c>
      <c r="O85" s="165">
        <f t="shared" si="35"/>
        <v>-39801.693191801431</v>
      </c>
      <c r="P85" s="165">
        <f t="shared" si="35"/>
        <v>-41990.78631735051</v>
      </c>
      <c r="Q85" s="165">
        <f t="shared" si="35"/>
        <v>-44090.325633218032</v>
      </c>
      <c r="R85" s="165">
        <f t="shared" si="35"/>
        <v>-46294.84191487894</v>
      </c>
    </row>
    <row r="86" spans="1:18" x14ac:dyDescent="0.2">
      <c r="A86" s="137"/>
      <c r="B86" s="156"/>
      <c r="C86" s="157"/>
      <c r="D86" s="159"/>
      <c r="E86" s="159"/>
      <c r="F86" s="159"/>
      <c r="G86" s="159"/>
      <c r="H86" s="159"/>
      <c r="I86" s="146"/>
      <c r="J86" s="146"/>
      <c r="K86" s="146"/>
      <c r="L86" s="146"/>
      <c r="M86" s="146"/>
      <c r="N86" s="146"/>
      <c r="O86" s="146"/>
      <c r="P86" s="146"/>
      <c r="Q86" s="146"/>
      <c r="R86" s="146"/>
    </row>
    <row r="87" spans="1:18" x14ac:dyDescent="0.2">
      <c r="A87" s="137"/>
      <c r="B87" s="156"/>
      <c r="C87" s="157"/>
      <c r="D87" s="158"/>
      <c r="E87" s="158"/>
      <c r="F87" s="158"/>
      <c r="G87" s="158"/>
      <c r="H87" s="158"/>
      <c r="I87" s="146"/>
      <c r="J87" s="146"/>
      <c r="K87" s="146"/>
      <c r="L87" s="146"/>
      <c r="M87" s="146"/>
      <c r="N87" s="146"/>
      <c r="O87" s="146"/>
      <c r="P87" s="146"/>
      <c r="Q87" s="146"/>
      <c r="R87" s="146"/>
    </row>
    <row r="88" spans="1:18" x14ac:dyDescent="0.2">
      <c r="A88" s="148" t="s">
        <v>262</v>
      </c>
      <c r="B88" s="156" t="s">
        <v>118</v>
      </c>
      <c r="C88" s="157"/>
      <c r="D88" s="159"/>
      <c r="E88" s="159"/>
      <c r="F88" s="159"/>
      <c r="G88" s="159"/>
      <c r="H88" s="159"/>
      <c r="I88" s="146"/>
      <c r="J88" s="146"/>
      <c r="K88" s="146"/>
      <c r="L88" s="146"/>
      <c r="M88" s="146"/>
      <c r="N88" s="146"/>
      <c r="O88" s="146"/>
      <c r="P88" s="146"/>
      <c r="Q88" s="146"/>
      <c r="R88" s="146"/>
    </row>
    <row r="89" spans="1:18" x14ac:dyDescent="0.2">
      <c r="A89" s="137"/>
      <c r="B89" s="157"/>
      <c r="C89" s="157"/>
      <c r="D89" s="157"/>
      <c r="E89" s="157"/>
      <c r="F89" s="157"/>
      <c r="G89" s="157"/>
      <c r="H89" s="157"/>
      <c r="I89" s="146"/>
      <c r="J89" s="146"/>
      <c r="K89" s="146"/>
      <c r="L89" s="146"/>
      <c r="M89" s="146"/>
      <c r="N89" s="146"/>
      <c r="O89" s="146"/>
      <c r="P89" s="146"/>
      <c r="Q89" s="146"/>
      <c r="R89" s="146"/>
    </row>
    <row r="90" spans="1:18" x14ac:dyDescent="0.2">
      <c r="A90" s="137" t="s">
        <v>323</v>
      </c>
      <c r="B90" s="156" t="s">
        <v>118</v>
      </c>
      <c r="C90" s="160"/>
      <c r="D90" s="158">
        <f>SUM('Cash flow-Historic'!B52:B53,'Cash flow-Historic'!B55)</f>
        <v>1459</v>
      </c>
      <c r="E90" s="164">
        <f>SUM('Cash flow-Historic'!C52:C53,'Cash flow-Historic'!C55)</f>
        <v>-25017</v>
      </c>
      <c r="F90" s="158">
        <f>SUM('Cash flow-Historic'!D52:D53,'Cash flow-Historic'!D55)</f>
        <v>0</v>
      </c>
      <c r="G90" s="158">
        <f>SUM('Cash flow-Historic'!E52:E53,'Cash flow-Historic'!E55)</f>
        <v>7741</v>
      </c>
      <c r="H90" s="158">
        <f>SUM('Cash flow-Historic'!F52:F53,'Cash flow-Historic'!F55)</f>
        <v>49744</v>
      </c>
      <c r="I90" s="162">
        <f>'Working '!M114+'Working '!M115</f>
        <v>0</v>
      </c>
      <c r="J90" s="162">
        <f>'Working '!N114+'Working '!N115</f>
        <v>0</v>
      </c>
      <c r="K90" s="162">
        <f>'Working '!O114+'Working '!O115</f>
        <v>0</v>
      </c>
      <c r="L90" s="162">
        <f>'Working '!P114+'Working '!P115</f>
        <v>0</v>
      </c>
      <c r="M90" s="162">
        <f>'Working '!Q114+'Working '!Q115</f>
        <v>0</v>
      </c>
      <c r="N90" s="162">
        <f>'Working '!R114+'Working '!R115</f>
        <v>0</v>
      </c>
      <c r="O90" s="162">
        <f>'Working '!S114+'Working '!S115</f>
        <v>0</v>
      </c>
      <c r="P90" s="162">
        <f>'Working '!T114+'Working '!T115</f>
        <v>0</v>
      </c>
      <c r="Q90" s="162">
        <f>'Working '!U114+'Working '!U115</f>
        <v>0</v>
      </c>
      <c r="R90" s="162">
        <f>'Working '!V114+'Working '!V115</f>
        <v>0</v>
      </c>
    </row>
    <row r="91" spans="1:18" x14ac:dyDescent="0.2">
      <c r="A91" s="137" t="s">
        <v>324</v>
      </c>
      <c r="B91" s="156" t="s">
        <v>118</v>
      </c>
      <c r="C91" s="157"/>
      <c r="D91" s="164">
        <f>'Cash flow-Historic'!B54</f>
        <v>-853</v>
      </c>
      <c r="E91" s="164">
        <f>'Cash flow-Historic'!C54</f>
        <v>-492</v>
      </c>
      <c r="F91" s="164">
        <f>'Cash flow-Historic'!D54</f>
        <v>-998</v>
      </c>
      <c r="G91" s="164">
        <f>'Cash flow-Historic'!E54</f>
        <v>-727</v>
      </c>
      <c r="H91" s="164">
        <f>'Cash flow-Historic'!F54</f>
        <v>-953</v>
      </c>
      <c r="I91" s="165">
        <f>'Working '!M122</f>
        <v>-804.6</v>
      </c>
      <c r="J91" s="165">
        <f>'Working '!N122</f>
        <v>-794.92</v>
      </c>
      <c r="K91" s="165">
        <f>'Working '!O122</f>
        <v>-855.50399999999991</v>
      </c>
      <c r="L91" s="165">
        <f>'Working '!P122</f>
        <v>-827.00479999999993</v>
      </c>
      <c r="M91" s="165">
        <f>'Working '!Q122</f>
        <v>-847.00576000000001</v>
      </c>
      <c r="N91" s="165">
        <f>'Working '!R122</f>
        <v>-825.80691200000001</v>
      </c>
      <c r="O91" s="165">
        <f>'Working '!S122</f>
        <v>-830.04829439999992</v>
      </c>
      <c r="P91" s="165">
        <f>'Working '!T122</f>
        <v>-837.07395327999984</v>
      </c>
      <c r="Q91" s="165">
        <f>'Working '!U122</f>
        <v>-833.38794393600006</v>
      </c>
      <c r="R91" s="165">
        <f>'Working '!V122</f>
        <v>-834.66457272320008</v>
      </c>
    </row>
    <row r="92" spans="1:18" x14ac:dyDescent="0.2">
      <c r="A92" s="137" t="s">
        <v>325</v>
      </c>
      <c r="B92" s="156" t="s">
        <v>118</v>
      </c>
      <c r="C92" s="157"/>
      <c r="D92" s="164">
        <f>'Cash flow-Historic'!B57</f>
        <v>-6610</v>
      </c>
      <c r="E92" s="164">
        <f>'Cash flow-Historic'!C57</f>
        <v>-1344</v>
      </c>
      <c r="F92" s="164">
        <f>'Cash flow-Historic'!D57</f>
        <v>-27785</v>
      </c>
      <c r="G92" s="164">
        <f>'Cash flow-Historic'!E57</f>
        <v>-19852</v>
      </c>
      <c r="H92" s="164">
        <f>'Cash flow-Historic'!F57</f>
        <v>-26463</v>
      </c>
      <c r="I92" s="165">
        <f>'Working '!M159</f>
        <v>-19736.460411047359</v>
      </c>
      <c r="J92" s="165">
        <f>'Working '!N159</f>
        <v>-24886.242024280698</v>
      </c>
      <c r="K92" s="165">
        <f>'Working '!O159</f>
        <v>-42244.219352542226</v>
      </c>
      <c r="L92" s="165">
        <f>'Working '!P159</f>
        <v>-59177.544148303219</v>
      </c>
      <c r="M92" s="165">
        <f>'Working '!Q159</f>
        <v>-77363.435830548056</v>
      </c>
      <c r="N92" s="165">
        <f>'Working '!R159</f>
        <v>-97105.9362014324</v>
      </c>
      <c r="O92" s="165">
        <f>'Working '!S159</f>
        <v>-112206.51718906389</v>
      </c>
      <c r="P92" s="165">
        <f>'Working '!T159</f>
        <v>-128489.32077498062</v>
      </c>
      <c r="Q92" s="165">
        <f>'Working '!U159</f>
        <v>-145340.98418068973</v>
      </c>
      <c r="R92" s="165">
        <f>'Working '!V159</f>
        <v>-163361.90767372251</v>
      </c>
    </row>
    <row r="93" spans="1:18" ht="16" customHeight="1" x14ac:dyDescent="0.2">
      <c r="A93" s="137" t="s">
        <v>314</v>
      </c>
      <c r="B93" s="156" t="s">
        <v>118</v>
      </c>
      <c r="C93" s="161"/>
      <c r="D93" s="164">
        <f>-'Working '!H45</f>
        <v>-2267</v>
      </c>
      <c r="E93" s="164">
        <f>-'Working '!I45</f>
        <v>-1478</v>
      </c>
      <c r="F93" s="164">
        <f>-'Working '!J45</f>
        <v>-464</v>
      </c>
      <c r="G93" s="164">
        <f>-'Working '!K45</f>
        <v>-689</v>
      </c>
      <c r="H93" s="164">
        <f>-'Working '!L45</f>
        <v>-1286</v>
      </c>
      <c r="I93" s="165">
        <v>0</v>
      </c>
      <c r="J93" s="165">
        <v>0</v>
      </c>
      <c r="K93" s="165">
        <v>0</v>
      </c>
      <c r="L93" s="165">
        <v>0</v>
      </c>
      <c r="M93" s="165">
        <v>0</v>
      </c>
      <c r="N93" s="165">
        <v>0</v>
      </c>
      <c r="O93" s="165">
        <v>0</v>
      </c>
      <c r="P93" s="165">
        <v>0</v>
      </c>
      <c r="Q93" s="165">
        <v>0</v>
      </c>
      <c r="R93" s="165">
        <v>0</v>
      </c>
    </row>
    <row r="94" spans="1:18" x14ac:dyDescent="0.2">
      <c r="A94" s="137" t="s">
        <v>304</v>
      </c>
      <c r="B94" s="156" t="s">
        <v>118</v>
      </c>
      <c r="C94" s="161"/>
      <c r="D94" s="164">
        <f>'Cash flow-Historic'!B59</f>
        <v>-8817</v>
      </c>
      <c r="E94" s="164">
        <f>'Cash flow-Historic'!C59</f>
        <v>-28665</v>
      </c>
      <c r="F94" s="164">
        <f>'Cash flow-Historic'!D59</f>
        <v>-29234</v>
      </c>
      <c r="G94" s="164">
        <f>'Cash flow-Historic'!E59</f>
        <v>-12240</v>
      </c>
      <c r="H94" s="158">
        <f>'Cash flow-Historic'!F59</f>
        <v>21714</v>
      </c>
      <c r="I94" s="165">
        <f>SUM(I90:I93)</f>
        <v>-20541.060411047358</v>
      </c>
      <c r="J94" s="165">
        <f t="shared" ref="J94:R94" si="36">SUM(J90:J93)</f>
        <v>-25681.162024280697</v>
      </c>
      <c r="K94" s="165">
        <f t="shared" si="36"/>
        <v>-43099.723352542227</v>
      </c>
      <c r="L94" s="165">
        <f t="shared" si="36"/>
        <v>-60004.548948303222</v>
      </c>
      <c r="M94" s="165">
        <f t="shared" si="36"/>
        <v>-78210.441590548056</v>
      </c>
      <c r="N94" s="165">
        <f t="shared" si="36"/>
        <v>-97931.7431134324</v>
      </c>
      <c r="O94" s="165">
        <f t="shared" si="36"/>
        <v>-113036.56548346388</v>
      </c>
      <c r="P94" s="165">
        <f t="shared" si="36"/>
        <v>-129326.39472826061</v>
      </c>
      <c r="Q94" s="165">
        <f t="shared" si="36"/>
        <v>-146174.37212462572</v>
      </c>
      <c r="R94" s="165">
        <f t="shared" si="36"/>
        <v>-164196.57224644572</v>
      </c>
    </row>
    <row r="95" spans="1:18" x14ac:dyDescent="0.2">
      <c r="A95" s="137"/>
      <c r="B95" s="161"/>
      <c r="C95" s="161"/>
      <c r="D95" s="158"/>
      <c r="E95" s="158"/>
      <c r="F95" s="158"/>
      <c r="G95" s="158"/>
      <c r="H95" s="158"/>
      <c r="I95" s="146"/>
      <c r="J95" s="146"/>
      <c r="K95" s="146"/>
      <c r="L95" s="146"/>
      <c r="M95" s="146"/>
      <c r="N95" s="146"/>
      <c r="O95" s="146"/>
      <c r="P95" s="146"/>
      <c r="Q95" s="146"/>
      <c r="R95" s="146"/>
    </row>
    <row r="96" spans="1:18" x14ac:dyDescent="0.2">
      <c r="A96" s="137"/>
      <c r="B96" s="157"/>
      <c r="C96" s="157"/>
      <c r="D96" s="158"/>
      <c r="E96" s="158"/>
      <c r="F96" s="158"/>
      <c r="G96" s="158"/>
      <c r="H96" s="158"/>
      <c r="I96" s="146"/>
      <c r="J96" s="146"/>
      <c r="K96" s="146"/>
      <c r="L96" s="146"/>
      <c r="M96" s="146"/>
      <c r="N96" s="146"/>
      <c r="O96" s="146"/>
      <c r="P96" s="146"/>
      <c r="Q96" s="146"/>
      <c r="R96" s="146"/>
    </row>
    <row r="97" spans="1:18" x14ac:dyDescent="0.2">
      <c r="A97" s="137" t="s">
        <v>305</v>
      </c>
      <c r="B97" s="156" t="s">
        <v>118</v>
      </c>
      <c r="C97" s="157"/>
      <c r="D97" s="158">
        <f>'Cash flow-Historic'!B61</f>
        <v>38041</v>
      </c>
      <c r="E97" s="158">
        <f>'Cash flow-Historic'!C61</f>
        <v>45290</v>
      </c>
      <c r="F97" s="164">
        <f>'Cash flow-Historic'!D61</f>
        <v>-53274</v>
      </c>
      <c r="G97" s="164">
        <f>'Cash flow-Historic'!E61</f>
        <v>-20071</v>
      </c>
      <c r="H97" s="158">
        <f>'Cash flow-Historic'!F61</f>
        <v>21277</v>
      </c>
      <c r="I97" s="146">
        <f>SUM(I94,I85,I78)</f>
        <v>26941.118861259456</v>
      </c>
      <c r="J97" s="146">
        <f>SUM(J94,J85,J78)</f>
        <v>8173.1947300585671</v>
      </c>
      <c r="K97" s="146">
        <f t="shared" ref="K97:R97" si="37">SUM(K94,K85,K78)</f>
        <v>24488.337225598923</v>
      </c>
      <c r="L97" s="146">
        <f t="shared" si="37"/>
        <v>37908.850335928189</v>
      </c>
      <c r="M97" s="146">
        <f t="shared" si="37"/>
        <v>53201.822343486565</v>
      </c>
      <c r="N97" s="146">
        <f t="shared" si="37"/>
        <v>67521.077443614951</v>
      </c>
      <c r="O97" s="146">
        <f t="shared" si="37"/>
        <v>89437.170637909614</v>
      </c>
      <c r="P97" s="146">
        <f t="shared" si="37"/>
        <v>100813.28908457901</v>
      </c>
      <c r="Q97" s="146">
        <f t="shared" si="37"/>
        <v>118276.19928156183</v>
      </c>
      <c r="R97" s="146">
        <f t="shared" si="37"/>
        <v>133419.98857737606</v>
      </c>
    </row>
    <row r="98" spans="1:18" x14ac:dyDescent="0.2">
      <c r="A98" s="137" t="s">
        <v>306</v>
      </c>
      <c r="B98" s="156" t="s">
        <v>118</v>
      </c>
      <c r="C98" s="157"/>
      <c r="D98" s="158">
        <f>'Cash flow-Historic'!B62</f>
        <v>2899</v>
      </c>
      <c r="E98" s="158">
        <f>'Cash flow-Historic'!C62</f>
        <v>40970</v>
      </c>
      <c r="F98" s="158">
        <f>'Cash flow-Historic'!D62</f>
        <v>86260</v>
      </c>
      <c r="G98" s="158">
        <f>'Cash flow-Historic'!E62</f>
        <v>32986</v>
      </c>
      <c r="H98" s="158">
        <f>'Cash flow-Historic'!F62</f>
        <v>12915</v>
      </c>
      <c r="I98" s="146">
        <f>H99</f>
        <v>34192</v>
      </c>
      <c r="J98" s="146">
        <f t="shared" ref="J98:R98" si="38">I99</f>
        <v>61133.118861259456</v>
      </c>
      <c r="K98" s="146">
        <f t="shared" si="38"/>
        <v>69306.31359131803</v>
      </c>
      <c r="L98" s="146">
        <f t="shared" si="38"/>
        <v>93794.650816916954</v>
      </c>
      <c r="M98" s="146">
        <f t="shared" si="38"/>
        <v>131703.50115284516</v>
      </c>
      <c r="N98" s="146">
        <f t="shared" si="38"/>
        <v>184905.32349633172</v>
      </c>
      <c r="O98" s="146">
        <f t="shared" si="38"/>
        <v>252426.40093994667</v>
      </c>
      <c r="P98" s="146">
        <f t="shared" si="38"/>
        <v>341863.57157785632</v>
      </c>
      <c r="Q98" s="146">
        <f t="shared" si="38"/>
        <v>442676.8606624353</v>
      </c>
      <c r="R98" s="146">
        <f t="shared" si="38"/>
        <v>560953.05994399707</v>
      </c>
    </row>
    <row r="99" spans="1:18" x14ac:dyDescent="0.2">
      <c r="A99" s="137" t="s">
        <v>307</v>
      </c>
      <c r="B99" s="156" t="s">
        <v>118</v>
      </c>
      <c r="C99" s="157"/>
      <c r="D99" s="158">
        <f>'Cash flow-Historic'!B63</f>
        <v>40940</v>
      </c>
      <c r="E99" s="158">
        <f>'Cash flow-Historic'!C63</f>
        <v>86260</v>
      </c>
      <c r="F99" s="158">
        <f>'Cash flow-Historic'!D63</f>
        <v>32986</v>
      </c>
      <c r="G99" s="158">
        <f>'Cash flow-Historic'!E63</f>
        <v>12915</v>
      </c>
      <c r="H99" s="158">
        <f>'Cash flow-Historic'!F63</f>
        <v>34192</v>
      </c>
      <c r="I99" s="146">
        <f>SUM(I97:I98)</f>
        <v>61133.118861259456</v>
      </c>
      <c r="J99" s="146">
        <f t="shared" ref="J99:R99" si="39">SUM(J97:J98)</f>
        <v>69306.31359131803</v>
      </c>
      <c r="K99" s="146">
        <f t="shared" si="39"/>
        <v>93794.650816916954</v>
      </c>
      <c r="L99" s="146">
        <f t="shared" si="39"/>
        <v>131703.50115284516</v>
      </c>
      <c r="M99" s="146">
        <f t="shared" si="39"/>
        <v>184905.32349633172</v>
      </c>
      <c r="N99" s="146">
        <f t="shared" si="39"/>
        <v>252426.40093994667</v>
      </c>
      <c r="O99" s="146">
        <f t="shared" si="39"/>
        <v>341863.57157785632</v>
      </c>
      <c r="P99" s="146">
        <f t="shared" si="39"/>
        <v>442676.8606624353</v>
      </c>
      <c r="Q99" s="146">
        <f t="shared" si="39"/>
        <v>560953.05994399707</v>
      </c>
      <c r="R99" s="146">
        <f t="shared" si="39"/>
        <v>694373.04852137319</v>
      </c>
    </row>
  </sheetData>
  <mergeCells count="3">
    <mergeCell ref="A69:R69"/>
    <mergeCell ref="A1:R1"/>
    <mergeCell ref="A2:R2"/>
  </mergeCells>
  <pageMargins left="0.7" right="0.7" top="0.75" bottom="0.75" header="0.3" footer="0.3"/>
  <pageSetup paperSize="9"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B28D3-21A5-8149-BEB5-125EDD6CB2E1}">
  <dimension ref="A1:R89"/>
  <sheetViews>
    <sheetView showGridLines="0" zoomScale="83" workbookViewId="0">
      <pane xSplit="1" ySplit="5" topLeftCell="B6" activePane="bottomRight" state="frozen"/>
      <selection pane="topRight" activeCell="B1" sqref="B1"/>
      <selection pane="bottomLeft" activeCell="A6" sqref="A6"/>
      <selection pane="bottomRight" activeCell="K39" sqref="K39"/>
    </sheetView>
  </sheetViews>
  <sheetFormatPr baseColWidth="10" defaultColWidth="8.83203125" defaultRowHeight="33" customHeight="1" x14ac:dyDescent="0.2"/>
  <cols>
    <col min="1" max="1" width="30" bestFit="1" customWidth="1"/>
    <col min="2" max="2" width="20.6640625" bestFit="1" customWidth="1"/>
    <col min="3" max="8" width="15" customWidth="1"/>
    <col min="9" max="9" width="17.83203125" customWidth="1"/>
    <col min="10" max="12" width="15" customWidth="1"/>
    <col min="13" max="13" width="14.1640625" bestFit="1" customWidth="1"/>
    <col min="14" max="18" width="15" customWidth="1"/>
  </cols>
  <sheetData>
    <row r="1" spans="1:18" ht="127" customHeight="1" x14ac:dyDescent="0.2">
      <c r="A1" s="272" t="s">
        <v>105</v>
      </c>
      <c r="B1" s="273"/>
      <c r="C1" s="273"/>
      <c r="D1" s="273"/>
      <c r="E1" s="273"/>
      <c r="F1" s="273"/>
      <c r="G1" s="273"/>
      <c r="H1" s="273"/>
      <c r="I1" s="273"/>
      <c r="J1" s="273"/>
      <c r="K1" s="273"/>
      <c r="L1" s="273"/>
      <c r="M1" s="273"/>
      <c r="N1" s="273"/>
      <c r="O1" s="273"/>
      <c r="P1" s="273"/>
      <c r="Q1" s="273"/>
      <c r="R1" s="273"/>
    </row>
    <row r="2" spans="1:18" ht="33" customHeight="1" x14ac:dyDescent="0.3">
      <c r="A2" s="274" t="s">
        <v>333</v>
      </c>
      <c r="B2" s="275"/>
      <c r="C2" s="275"/>
      <c r="D2" s="275"/>
      <c r="E2" s="275"/>
      <c r="F2" s="275"/>
      <c r="G2" s="275"/>
      <c r="H2" s="275"/>
      <c r="I2" s="275"/>
      <c r="J2" s="275"/>
      <c r="K2" s="275"/>
      <c r="L2" s="275"/>
      <c r="M2" s="275"/>
      <c r="N2" s="275"/>
      <c r="O2" s="275"/>
      <c r="P2" s="275"/>
      <c r="Q2" s="275"/>
      <c r="R2" s="275"/>
    </row>
    <row r="3" spans="1:18" ht="16" customHeight="1" x14ac:dyDescent="0.2"/>
    <row r="4" spans="1:18" ht="33" customHeight="1" x14ac:dyDescent="0.2">
      <c r="A4" s="276" t="s">
        <v>334</v>
      </c>
      <c r="B4" s="276"/>
      <c r="C4" s="276"/>
      <c r="D4" s="276"/>
      <c r="E4" s="276"/>
      <c r="F4" s="276"/>
      <c r="G4" s="276"/>
      <c r="H4" s="276"/>
      <c r="I4" s="276"/>
      <c r="J4" s="276"/>
      <c r="K4" s="276"/>
      <c r="L4" s="276"/>
      <c r="M4" s="276"/>
      <c r="N4" s="276"/>
      <c r="O4" s="276"/>
      <c r="P4" s="276"/>
      <c r="Q4" s="276"/>
      <c r="R4" s="276"/>
    </row>
    <row r="5" spans="1:18" ht="33" customHeight="1" x14ac:dyDescent="0.2">
      <c r="B5" s="206" t="s">
        <v>364</v>
      </c>
      <c r="C5" s="206" t="s">
        <v>366</v>
      </c>
      <c r="D5" s="206" t="s">
        <v>362</v>
      </c>
      <c r="E5" s="206" t="s">
        <v>363</v>
      </c>
      <c r="F5" s="206" t="s">
        <v>365</v>
      </c>
      <c r="G5" s="206" t="s">
        <v>281</v>
      </c>
      <c r="H5" s="206" t="s">
        <v>282</v>
      </c>
      <c r="I5" s="206" t="s">
        <v>283</v>
      </c>
      <c r="J5" s="206" t="s">
        <v>284</v>
      </c>
      <c r="K5" s="206" t="s">
        <v>285</v>
      </c>
      <c r="L5" s="206" t="s">
        <v>286</v>
      </c>
      <c r="M5" s="206" t="s">
        <v>287</v>
      </c>
      <c r="N5" s="206" t="s">
        <v>288</v>
      </c>
      <c r="O5" s="206" t="s">
        <v>289</v>
      </c>
      <c r="P5" s="206" t="s">
        <v>290</v>
      </c>
      <c r="Q5" s="252"/>
      <c r="R5" s="252"/>
    </row>
    <row r="6" spans="1:18" ht="33" customHeight="1" x14ac:dyDescent="0.2">
      <c r="A6" s="201" t="s">
        <v>335</v>
      </c>
      <c r="B6" s="197">
        <f>FS!D26</f>
        <v>19208</v>
      </c>
      <c r="C6" s="197">
        <f>FS!E26</f>
        <v>50922</v>
      </c>
      <c r="D6" s="197">
        <f>FS!F26</f>
        <v>42195</v>
      </c>
      <c r="E6" s="197">
        <f>FS!G26</f>
        <v>55803</v>
      </c>
      <c r="F6" s="197">
        <f>FS!H26</f>
        <v>61797</v>
      </c>
      <c r="G6" s="197">
        <f>FS!I26</f>
        <v>55745.952765844479</v>
      </c>
      <c r="H6" s="197">
        <f>FS!J26</f>
        <v>69921.422961253003</v>
      </c>
      <c r="I6" s="197">
        <f>FS!K26</f>
        <v>117378.99701503021</v>
      </c>
      <c r="J6" s="197">
        <f>FS!L26</f>
        <v>163687.61365810022</v>
      </c>
      <c r="K6" s="197">
        <f>FS!M26</f>
        <v>213408.64973970904</v>
      </c>
      <c r="L6" s="197">
        <f>FS!N26</f>
        <v>267381.90978475538</v>
      </c>
      <c r="M6" s="197">
        <f>FS!O26</f>
        <v>308695.75150926557</v>
      </c>
      <c r="N6" s="197">
        <f>FS!P26</f>
        <v>353240.66217302281</v>
      </c>
      <c r="O6" s="197">
        <f>FS!Q26</f>
        <v>399330.16901929688</v>
      </c>
      <c r="P6" s="197">
        <f>FS!R26</f>
        <v>448614.76439501171</v>
      </c>
      <c r="Q6" s="252"/>
      <c r="R6" s="252"/>
    </row>
    <row r="7" spans="1:18" ht="33" customHeight="1" x14ac:dyDescent="0.2">
      <c r="A7" s="201" t="s">
        <v>153</v>
      </c>
      <c r="B7" s="198">
        <f>-B6*Assumptions!$C$107</f>
        <v>-5762.4</v>
      </c>
      <c r="C7" s="198">
        <f>-C6*Assumptions!$C$107</f>
        <v>-15276.599999999999</v>
      </c>
      <c r="D7" s="198">
        <f>-D6*Assumptions!$C$107</f>
        <v>-12658.5</v>
      </c>
      <c r="E7" s="198">
        <f>-E6*Assumptions!$C$107</f>
        <v>-16740.899999999998</v>
      </c>
      <c r="F7" s="198">
        <f>-F6*Assumptions!$C$107</f>
        <v>-18539.099999999999</v>
      </c>
      <c r="G7" s="198">
        <f>-G6*Assumptions!$C$107</f>
        <v>-16723.785829753342</v>
      </c>
      <c r="H7" s="198">
        <f>-H6*Assumptions!$C$107</f>
        <v>-20976.4268883759</v>
      </c>
      <c r="I7" s="198">
        <f>-I6*Assumptions!$C$107</f>
        <v>-35213.699104509062</v>
      </c>
      <c r="J7" s="198">
        <f>-J6*Assumptions!$C$107</f>
        <v>-49106.284097430063</v>
      </c>
      <c r="K7" s="198">
        <f>-K6*Assumptions!$C$107</f>
        <v>-64022.594921912707</v>
      </c>
      <c r="L7" s="198">
        <f>-L6*Assumptions!$C$107</f>
        <v>-80214.572935426608</v>
      </c>
      <c r="M7" s="198">
        <f>-M6*Assumptions!$C$107</f>
        <v>-92608.725452779661</v>
      </c>
      <c r="N7" s="198">
        <f>-N6*Assumptions!$C$107</f>
        <v>-105972.19865190685</v>
      </c>
      <c r="O7" s="198">
        <f>-O6*Assumptions!$C$107</f>
        <v>-119799.05070578906</v>
      </c>
      <c r="P7" s="198">
        <f>-P6*Assumptions!$C$107</f>
        <v>-134584.42931850351</v>
      </c>
      <c r="Q7" s="252"/>
      <c r="R7" s="252"/>
    </row>
    <row r="8" spans="1:18" ht="33" customHeight="1" x14ac:dyDescent="0.2">
      <c r="A8" s="202" t="s">
        <v>336</v>
      </c>
      <c r="B8" s="199">
        <f>SUM(B6:B7)</f>
        <v>13445.6</v>
      </c>
      <c r="C8" s="199">
        <f t="shared" ref="C8:P8" si="0">SUM(C6:C7)</f>
        <v>35645.4</v>
      </c>
      <c r="D8" s="199">
        <f t="shared" si="0"/>
        <v>29536.5</v>
      </c>
      <c r="E8" s="199">
        <f t="shared" si="0"/>
        <v>39062.100000000006</v>
      </c>
      <c r="F8" s="199">
        <f t="shared" si="0"/>
        <v>43257.9</v>
      </c>
      <c r="G8" s="199">
        <f t="shared" si="0"/>
        <v>39022.166936091133</v>
      </c>
      <c r="H8" s="199">
        <f t="shared" si="0"/>
        <v>48944.996072877104</v>
      </c>
      <c r="I8" s="199">
        <f t="shared" si="0"/>
        <v>82165.297910521156</v>
      </c>
      <c r="J8" s="199">
        <f t="shared" si="0"/>
        <v>114581.32956067016</v>
      </c>
      <c r="K8" s="199">
        <f t="shared" si="0"/>
        <v>149386.05481779634</v>
      </c>
      <c r="L8" s="199">
        <f t="shared" si="0"/>
        <v>187167.33684932877</v>
      </c>
      <c r="M8" s="199">
        <f t="shared" si="0"/>
        <v>216087.02605648589</v>
      </c>
      <c r="N8" s="199">
        <f t="shared" si="0"/>
        <v>247268.46352111595</v>
      </c>
      <c r="O8" s="199">
        <f t="shared" si="0"/>
        <v>279531.11831350782</v>
      </c>
      <c r="P8" s="199">
        <f t="shared" si="0"/>
        <v>314030.33507650823</v>
      </c>
      <c r="Q8" s="252"/>
      <c r="R8" s="252"/>
    </row>
    <row r="9" spans="1:18" ht="33" customHeight="1" x14ac:dyDescent="0.2">
      <c r="A9" s="201" t="s">
        <v>337</v>
      </c>
      <c r="B9" s="197">
        <f>FS!D18</f>
        <v>23201</v>
      </c>
      <c r="C9" s="197">
        <f>FS!E18</f>
        <v>21719</v>
      </c>
      <c r="D9" s="197">
        <f>FS!F18</f>
        <v>21059</v>
      </c>
      <c r="E9" s="197">
        <f>FS!G18</f>
        <v>21190</v>
      </c>
      <c r="F9" s="197">
        <f>FS!H18</f>
        <v>23298</v>
      </c>
      <c r="G9" s="197">
        <f>FS!I18</f>
        <v>31361.449178577066</v>
      </c>
      <c r="H9" s="197">
        <f>FS!J18</f>
        <v>33556.750621077466</v>
      </c>
      <c r="I9" s="197">
        <f>FS!K18</f>
        <v>35737.9394114475</v>
      </c>
      <c r="J9" s="197">
        <f>FS!L18</f>
        <v>38060.905473191589</v>
      </c>
      <c r="K9" s="197">
        <f>FS!M18</f>
        <v>40344.559801583091</v>
      </c>
      <c r="L9" s="197">
        <f>FS!N18</f>
        <v>42765.233389678084</v>
      </c>
      <c r="M9" s="197">
        <f>FS!O18</f>
        <v>45117.321226110369</v>
      </c>
      <c r="N9" s="197">
        <f>FS!P18</f>
        <v>47598.773893546437</v>
      </c>
      <c r="O9" s="197">
        <f>FS!Q18</f>
        <v>49978.71258822376</v>
      </c>
      <c r="P9" s="197">
        <f>FS!R18</f>
        <v>52477.648217634953</v>
      </c>
      <c r="Q9" s="252"/>
      <c r="R9" s="252"/>
    </row>
    <row r="10" spans="1:18" ht="33" customHeight="1" x14ac:dyDescent="0.2">
      <c r="A10" s="201" t="s">
        <v>338</v>
      </c>
      <c r="B10" s="197">
        <f>'Working '!H93</f>
        <v>-20282</v>
      </c>
      <c r="C10" s="197">
        <f>'Working '!I93</f>
        <v>-16174</v>
      </c>
      <c r="D10" s="197">
        <f>'Working '!J93</f>
        <v>-11595</v>
      </c>
      <c r="E10" s="197">
        <f>'Working '!K93</f>
        <v>-23200</v>
      </c>
      <c r="F10" s="197">
        <f>'Working '!L93</f>
        <v>-28703</v>
      </c>
      <c r="G10" s="197">
        <f>'Working '!M93</f>
        <v>-27666.509099693947</v>
      </c>
      <c r="H10" s="197">
        <f>'Working '!N93</f>
        <v>-29603.16473667253</v>
      </c>
      <c r="I10" s="197">
        <f>'Working '!O93</f>
        <v>-31527.370444556243</v>
      </c>
      <c r="J10" s="197">
        <f>'Working '!P93</f>
        <v>-33576.649523452397</v>
      </c>
      <c r="K10" s="197">
        <f>'Working '!Q93</f>
        <v>-35591.248494859545</v>
      </c>
      <c r="L10" s="197">
        <f>'Working '!R93</f>
        <v>-37726.723404551129</v>
      </c>
      <c r="M10" s="197">
        <f>'Working '!S93</f>
        <v>-39801.693191801431</v>
      </c>
      <c r="N10" s="197">
        <f>'Working '!T93</f>
        <v>-41990.78631735051</v>
      </c>
      <c r="O10" s="197">
        <f>'Working '!U93</f>
        <v>-44090.325633218032</v>
      </c>
      <c r="P10" s="197">
        <f>'Working '!V93</f>
        <v>-46294.84191487894</v>
      </c>
      <c r="Q10" s="252"/>
      <c r="R10" s="252"/>
    </row>
    <row r="11" spans="1:18" ht="33" customHeight="1" x14ac:dyDescent="0.2">
      <c r="A11" s="201" t="s">
        <v>339</v>
      </c>
      <c r="B11" s="197">
        <f>-'Working '!H89</f>
        <v>0</v>
      </c>
      <c r="C11" s="197">
        <f>-'Working '!I89</f>
        <v>36092</v>
      </c>
      <c r="D11" s="197">
        <f>-'Working '!J89</f>
        <v>-56548</v>
      </c>
      <c r="E11" s="197">
        <f>-'Working '!K89</f>
        <v>-61598</v>
      </c>
      <c r="F11" s="197">
        <f>-'Working '!L89</f>
        <v>-59338</v>
      </c>
      <c r="G11" s="197">
        <f>-'Working '!M89</f>
        <v>17222.761591017828</v>
      </c>
      <c r="H11" s="197">
        <f>-'Working '!N89</f>
        <v>-20623.94257932232</v>
      </c>
      <c r="I11" s="197">
        <f>-'Working '!O89</f>
        <v>-17064.752388841065</v>
      </c>
      <c r="J11" s="197">
        <f>-'Working '!P89</f>
        <v>-20899.898776661663</v>
      </c>
      <c r="K11" s="197">
        <f>-'Working '!Q89</f>
        <v>-19302.807912524731</v>
      </c>
      <c r="L11" s="197">
        <f>-'Working '!R89</f>
        <v>-20405.638431782252</v>
      </c>
      <c r="M11" s="197">
        <f>-'Working '!S89</f>
        <v>-21567.533298774681</v>
      </c>
      <c r="N11" s="197">
        <f>-'Working '!T89</f>
        <v>-25205.068803474598</v>
      </c>
      <c r="O11" s="197">
        <f>-'Working '!U89</f>
        <v>-23029.894030018244</v>
      </c>
      <c r="P11" s="197">
        <f>-'Working '!V89</f>
        <v>-24181.388731519051</v>
      </c>
      <c r="Q11" s="252"/>
      <c r="R11" s="252"/>
    </row>
    <row r="12" spans="1:18" ht="33" customHeight="1" x14ac:dyDescent="0.2">
      <c r="A12" s="203" t="s">
        <v>340</v>
      </c>
      <c r="B12" s="200">
        <f>SUM(B8:B11)</f>
        <v>16364.599999999999</v>
      </c>
      <c r="C12" s="200">
        <f>SUM(C8:C11)</f>
        <v>77282.399999999994</v>
      </c>
      <c r="D12" s="200">
        <f t="shared" ref="D12:P12" si="1">SUM(D8:D11)</f>
        <v>-17547.5</v>
      </c>
      <c r="E12" s="200">
        <f t="shared" si="1"/>
        <v>-24545.899999999994</v>
      </c>
      <c r="F12" s="200">
        <f t="shared" si="1"/>
        <v>-21485.100000000006</v>
      </c>
      <c r="G12" s="200">
        <f t="shared" si="1"/>
        <v>59939.86860599208</v>
      </c>
      <c r="H12" s="200">
        <f t="shared" si="1"/>
        <v>32274.63937795972</v>
      </c>
      <c r="I12" s="200">
        <f t="shared" si="1"/>
        <v>69311.114488571344</v>
      </c>
      <c r="J12" s="200">
        <f t="shared" si="1"/>
        <v>98165.686733747687</v>
      </c>
      <c r="K12" s="200">
        <f t="shared" si="1"/>
        <v>134836.55821199514</v>
      </c>
      <c r="L12" s="200">
        <f t="shared" si="1"/>
        <v>171800.20840267348</v>
      </c>
      <c r="M12" s="200">
        <f t="shared" si="1"/>
        <v>199835.12079202014</v>
      </c>
      <c r="N12" s="200">
        <f t="shared" si="1"/>
        <v>227671.38229383726</v>
      </c>
      <c r="O12" s="200">
        <f t="shared" si="1"/>
        <v>262389.61123849527</v>
      </c>
      <c r="P12" s="200">
        <f t="shared" si="1"/>
        <v>296031.75264774519</v>
      </c>
      <c r="Q12" s="252"/>
      <c r="R12" s="252"/>
    </row>
    <row r="13" spans="1:18" ht="33" customHeight="1" x14ac:dyDescent="0.2">
      <c r="A13" s="201" t="s">
        <v>341</v>
      </c>
      <c r="B13" s="204"/>
      <c r="C13" s="204"/>
      <c r="D13" s="204"/>
      <c r="E13" s="204"/>
      <c r="F13" s="204"/>
      <c r="G13" s="204">
        <v>0.5</v>
      </c>
      <c r="H13" s="204">
        <v>1.5</v>
      </c>
      <c r="I13" s="204">
        <f>H13+0.5</f>
        <v>2</v>
      </c>
      <c r="J13" s="204">
        <f t="shared" ref="J13:P13" si="2">I13+0.5</f>
        <v>2.5</v>
      </c>
      <c r="K13" s="204">
        <f t="shared" si="2"/>
        <v>3</v>
      </c>
      <c r="L13" s="204">
        <f t="shared" si="2"/>
        <v>3.5</v>
      </c>
      <c r="M13" s="204">
        <f t="shared" si="2"/>
        <v>4</v>
      </c>
      <c r="N13" s="204">
        <f t="shared" si="2"/>
        <v>4.5</v>
      </c>
      <c r="O13" s="204">
        <f t="shared" si="2"/>
        <v>5</v>
      </c>
      <c r="P13" s="204">
        <f t="shared" si="2"/>
        <v>5.5</v>
      </c>
    </row>
    <row r="14" spans="1:18" ht="33" customHeight="1" x14ac:dyDescent="0.2">
      <c r="A14" s="201" t="s">
        <v>342</v>
      </c>
      <c r="B14" s="205"/>
      <c r="C14" s="205"/>
      <c r="D14" s="205"/>
      <c r="E14" s="205"/>
      <c r="F14" s="205"/>
      <c r="G14" s="205">
        <f t="shared" ref="G14:P14" si="3">1/(1+$B$49)^(G13)</f>
        <v>0.94121154202147594</v>
      </c>
      <c r="H14" s="205">
        <f t="shared" si="3"/>
        <v>0.83379969666094811</v>
      </c>
      <c r="I14" s="205">
        <f t="shared" si="3"/>
        <v>0.78478189823128985</v>
      </c>
      <c r="J14" s="205">
        <f t="shared" si="3"/>
        <v>0.73864578058481345</v>
      </c>
      <c r="K14" s="205">
        <f t="shared" si="3"/>
        <v>0.69522193415188893</v>
      </c>
      <c r="L14" s="205">
        <f t="shared" si="3"/>
        <v>0.65435090869025248</v>
      </c>
      <c r="M14" s="205">
        <f t="shared" si="3"/>
        <v>0.6158826277915066</v>
      </c>
      <c r="N14" s="205">
        <f t="shared" si="3"/>
        <v>0.57967583780788268</v>
      </c>
      <c r="O14" s="205">
        <f t="shared" si="3"/>
        <v>0.5455975891757483</v>
      </c>
      <c r="P14" s="205">
        <f t="shared" si="3"/>
        <v>0.51352274823130573</v>
      </c>
    </row>
    <row r="15" spans="1:18" ht="33" customHeight="1" x14ac:dyDescent="0.2">
      <c r="A15" s="203" t="s">
        <v>343</v>
      </c>
      <c r="B15" s="200">
        <f>B12</f>
        <v>16364.599999999999</v>
      </c>
      <c r="C15" s="200">
        <f t="shared" ref="C15:F15" si="4">C12</f>
        <v>77282.399999999994</v>
      </c>
      <c r="D15" s="200">
        <f t="shared" si="4"/>
        <v>-17547.5</v>
      </c>
      <c r="E15" s="200">
        <f t="shared" si="4"/>
        <v>-24545.899999999994</v>
      </c>
      <c r="F15" s="200">
        <f t="shared" si="4"/>
        <v>-21485.100000000006</v>
      </c>
      <c r="G15" s="200">
        <f t="shared" ref="G15:L15" si="5">G12*G14</f>
        <v>56416.096159210465</v>
      </c>
      <c r="H15" s="200">
        <f t="shared" si="5"/>
        <v>26910.584523184305</v>
      </c>
      <c r="I15" s="200">
        <f t="shared" si="5"/>
        <v>54394.107996867278</v>
      </c>
      <c r="J15" s="200">
        <f t="shared" si="5"/>
        <v>72509.670304093321</v>
      </c>
      <c r="K15" s="200">
        <f t="shared" si="5"/>
        <v>93741.332794527028</v>
      </c>
      <c r="L15" s="200">
        <f t="shared" si="5"/>
        <v>112417.62248146415</v>
      </c>
      <c r="M15" s="200">
        <f t="shared" ref="M15" si="6">M12*M14</f>
        <v>123074.9793184225</v>
      </c>
      <c r="N15" s="200">
        <f t="shared" ref="N15" si="7">N12*N14</f>
        <v>131975.59927605887</v>
      </c>
      <c r="O15" s="200">
        <f t="shared" ref="O15" si="8">O12*O14</f>
        <v>143159.13931648486</v>
      </c>
      <c r="P15" s="200">
        <f t="shared" ref="P15" si="9">P12*P14</f>
        <v>152019.03918340022</v>
      </c>
      <c r="Q15" s="252"/>
      <c r="R15" s="252"/>
    </row>
    <row r="17" spans="1:18" ht="33" customHeight="1" x14ac:dyDescent="0.2">
      <c r="A17" s="276" t="s">
        <v>381</v>
      </c>
      <c r="B17" s="276"/>
      <c r="C17" s="276"/>
      <c r="D17" s="276"/>
      <c r="E17" s="276"/>
      <c r="F17" s="276"/>
      <c r="G17" s="276"/>
      <c r="H17" s="276"/>
      <c r="I17" s="276"/>
      <c r="J17" s="276"/>
      <c r="K17" s="276"/>
      <c r="L17" s="276"/>
      <c r="M17" s="276"/>
      <c r="N17" s="276"/>
      <c r="O17" s="276"/>
      <c r="P17" s="276"/>
      <c r="Q17" s="276"/>
      <c r="R17" s="276"/>
    </row>
    <row r="18" spans="1:18" ht="33" customHeight="1" x14ac:dyDescent="0.2">
      <c r="A18" s="201" t="s">
        <v>382</v>
      </c>
      <c r="B18" s="197">
        <f>FS!D25</f>
        <v>11383</v>
      </c>
      <c r="C18" s="197">
        <f>FS!E25</f>
        <v>36608</v>
      </c>
      <c r="D18" s="197">
        <f>FS!F25</f>
        <v>30468</v>
      </c>
      <c r="E18" s="197">
        <f>FS!G25</f>
        <v>41086</v>
      </c>
      <c r="F18" s="197">
        <f>FS!H25</f>
        <v>44241</v>
      </c>
      <c r="G18" s="197">
        <f>FS!I25</f>
        <v>37665.000784441523</v>
      </c>
      <c r="H18" s="197">
        <f>FS!J25</f>
        <v>47492.828290612015</v>
      </c>
      <c r="I18" s="197">
        <f>FS!K25</f>
        <v>80618.739222408825</v>
      </c>
      <c r="J18" s="197">
        <f>FS!L25</f>
        <v>112934.24455783056</v>
      </c>
      <c r="K18" s="197">
        <f>FS!M25</f>
        <v>147640.14471478635</v>
      </c>
      <c r="L18" s="197">
        <f>FS!N25</f>
        <v>185316.67214013817</v>
      </c>
      <c r="M18" s="197">
        <f>FS!O25</f>
        <v>214134.57478828984</v>
      </c>
      <c r="N18" s="197">
        <f>FS!P25</f>
        <v>245208.62743316911</v>
      </c>
      <c r="O18" s="197">
        <f>FS!Q25</f>
        <v>277368.29042116361</v>
      </c>
      <c r="P18" s="197">
        <f>FS!R25</f>
        <v>311759.36578954675</v>
      </c>
      <c r="Q18" s="252"/>
      <c r="R18" s="252"/>
    </row>
    <row r="19" spans="1:18" ht="33" customHeight="1" x14ac:dyDescent="0.2">
      <c r="A19" s="201" t="s">
        <v>384</v>
      </c>
      <c r="B19" s="197">
        <f>B9</f>
        <v>23201</v>
      </c>
      <c r="C19" s="197">
        <f t="shared" ref="C19:P20" si="10">C9</f>
        <v>21719</v>
      </c>
      <c r="D19" s="197">
        <f t="shared" si="10"/>
        <v>21059</v>
      </c>
      <c r="E19" s="197">
        <f t="shared" si="10"/>
        <v>21190</v>
      </c>
      <c r="F19" s="197">
        <f t="shared" si="10"/>
        <v>23298</v>
      </c>
      <c r="G19" s="197">
        <f t="shared" si="10"/>
        <v>31361.449178577066</v>
      </c>
      <c r="H19" s="197">
        <f t="shared" si="10"/>
        <v>33556.750621077466</v>
      </c>
      <c r="I19" s="197">
        <f t="shared" si="10"/>
        <v>35737.9394114475</v>
      </c>
      <c r="J19" s="197">
        <f t="shared" si="10"/>
        <v>38060.905473191589</v>
      </c>
      <c r="K19" s="197">
        <f t="shared" si="10"/>
        <v>40344.559801583091</v>
      </c>
      <c r="L19" s="197">
        <f t="shared" si="10"/>
        <v>42765.233389678084</v>
      </c>
      <c r="M19" s="197">
        <f t="shared" si="10"/>
        <v>45117.321226110369</v>
      </c>
      <c r="N19" s="197">
        <f t="shared" si="10"/>
        <v>47598.773893546437</v>
      </c>
      <c r="O19" s="197">
        <f t="shared" si="10"/>
        <v>49978.71258822376</v>
      </c>
      <c r="P19" s="197">
        <f t="shared" si="10"/>
        <v>52477.648217634953</v>
      </c>
      <c r="Q19" s="252"/>
      <c r="R19" s="252"/>
    </row>
    <row r="20" spans="1:18" ht="33" customHeight="1" x14ac:dyDescent="0.2">
      <c r="A20" s="201" t="s">
        <v>385</v>
      </c>
      <c r="B20" s="197">
        <f>B10</f>
        <v>-20282</v>
      </c>
      <c r="C20" s="197">
        <f t="shared" si="10"/>
        <v>-16174</v>
      </c>
      <c r="D20" s="197">
        <f t="shared" si="10"/>
        <v>-11595</v>
      </c>
      <c r="E20" s="197">
        <f t="shared" si="10"/>
        <v>-23200</v>
      </c>
      <c r="F20" s="197">
        <f t="shared" si="10"/>
        <v>-28703</v>
      </c>
      <c r="G20" s="197">
        <f t="shared" si="10"/>
        <v>-27666.509099693947</v>
      </c>
      <c r="H20" s="197">
        <f t="shared" si="10"/>
        <v>-29603.16473667253</v>
      </c>
      <c r="I20" s="197">
        <f t="shared" si="10"/>
        <v>-31527.370444556243</v>
      </c>
      <c r="J20" s="197">
        <f t="shared" si="10"/>
        <v>-33576.649523452397</v>
      </c>
      <c r="K20" s="197">
        <f t="shared" si="10"/>
        <v>-35591.248494859545</v>
      </c>
      <c r="L20" s="197">
        <f t="shared" si="10"/>
        <v>-37726.723404551129</v>
      </c>
      <c r="M20" s="197">
        <f t="shared" si="10"/>
        <v>-39801.693191801431</v>
      </c>
      <c r="N20" s="197">
        <f t="shared" si="10"/>
        <v>-41990.78631735051</v>
      </c>
      <c r="O20" s="197">
        <f t="shared" si="10"/>
        <v>-44090.325633218032</v>
      </c>
      <c r="P20" s="197">
        <f t="shared" si="10"/>
        <v>-46294.84191487894</v>
      </c>
      <c r="Q20" s="252"/>
      <c r="R20" s="252"/>
    </row>
    <row r="21" spans="1:18" ht="33" customHeight="1" x14ac:dyDescent="0.2">
      <c r="A21" s="201" t="s">
        <v>386</v>
      </c>
      <c r="B21" s="197">
        <f>B11</f>
        <v>0</v>
      </c>
      <c r="C21" s="197">
        <f t="shared" ref="C21:P21" si="11">C11</f>
        <v>36092</v>
      </c>
      <c r="D21" s="197">
        <f t="shared" si="11"/>
        <v>-56548</v>
      </c>
      <c r="E21" s="197">
        <f t="shared" si="11"/>
        <v>-61598</v>
      </c>
      <c r="F21" s="197">
        <f t="shared" si="11"/>
        <v>-59338</v>
      </c>
      <c r="G21" s="197">
        <f t="shared" si="11"/>
        <v>17222.761591017828</v>
      </c>
      <c r="H21" s="197">
        <f t="shared" si="11"/>
        <v>-20623.94257932232</v>
      </c>
      <c r="I21" s="197">
        <f t="shared" si="11"/>
        <v>-17064.752388841065</v>
      </c>
      <c r="J21" s="197">
        <f t="shared" si="11"/>
        <v>-20899.898776661663</v>
      </c>
      <c r="K21" s="197">
        <f t="shared" si="11"/>
        <v>-19302.807912524731</v>
      </c>
      <c r="L21" s="197">
        <f t="shared" si="11"/>
        <v>-20405.638431782252</v>
      </c>
      <c r="M21" s="197">
        <f t="shared" si="11"/>
        <v>-21567.533298774681</v>
      </c>
      <c r="N21" s="197">
        <f t="shared" si="11"/>
        <v>-25205.068803474598</v>
      </c>
      <c r="O21" s="197">
        <f t="shared" si="11"/>
        <v>-23029.894030018244</v>
      </c>
      <c r="P21" s="197">
        <f t="shared" si="11"/>
        <v>-24181.388731519051</v>
      </c>
      <c r="Q21" s="252"/>
      <c r="R21" s="252"/>
    </row>
    <row r="22" spans="1:18" ht="33" customHeight="1" x14ac:dyDescent="0.2">
      <c r="A22" s="201" t="s">
        <v>387</v>
      </c>
      <c r="B22" s="197">
        <f>'Working '!H114+'Working '!H115</f>
        <v>1459</v>
      </c>
      <c r="C22" s="197">
        <f>'Working '!I114+'Working '!I115</f>
        <v>-25017</v>
      </c>
      <c r="D22" s="197">
        <f>'Working '!J114+'Working '!J115</f>
        <v>0</v>
      </c>
      <c r="E22" s="197">
        <f>'Working '!K114+'Working '!K115</f>
        <v>7741</v>
      </c>
      <c r="F22" s="197">
        <f>'Working '!L114+'Working '!L115</f>
        <v>49744</v>
      </c>
      <c r="G22" s="197">
        <f>'Working '!M114+'Working '!M115</f>
        <v>0</v>
      </c>
      <c r="H22" s="197">
        <f>'Working '!N114+'Working '!N115</f>
        <v>0</v>
      </c>
      <c r="I22" s="197">
        <f>'Working '!O114+'Working '!O115</f>
        <v>0</v>
      </c>
      <c r="J22" s="197">
        <f>'Working '!P114+'Working '!P115</f>
        <v>0</v>
      </c>
      <c r="K22" s="197">
        <f>'Working '!Q114+'Working '!Q115</f>
        <v>0</v>
      </c>
      <c r="L22" s="197">
        <f>'Working '!R114+'Working '!R115</f>
        <v>0</v>
      </c>
      <c r="M22" s="197">
        <f>'Working '!S114+'Working '!S115</f>
        <v>0</v>
      </c>
      <c r="N22" s="197">
        <f>'Working '!T114+'Working '!T115</f>
        <v>0</v>
      </c>
      <c r="O22" s="197">
        <f>'Working '!U114+'Working '!U115</f>
        <v>0</v>
      </c>
      <c r="P22" s="197">
        <f>'Working '!V114+'Working '!V115</f>
        <v>0</v>
      </c>
      <c r="Q22" s="252"/>
      <c r="R22" s="252"/>
    </row>
    <row r="23" spans="1:18" ht="33" customHeight="1" x14ac:dyDescent="0.2">
      <c r="A23" s="202" t="s">
        <v>383</v>
      </c>
      <c r="B23" s="197">
        <f>SUM(B18:B22)</f>
        <v>15761</v>
      </c>
      <c r="C23" s="197">
        <f t="shared" ref="C23:P23" si="12">SUM(C18:C22)</f>
        <v>53228</v>
      </c>
      <c r="D23" s="197">
        <f t="shared" si="12"/>
        <v>-16616</v>
      </c>
      <c r="E23" s="197">
        <f t="shared" si="12"/>
        <v>-14781</v>
      </c>
      <c r="F23" s="197">
        <f t="shared" si="12"/>
        <v>29242</v>
      </c>
      <c r="G23" s="197">
        <f t="shared" si="12"/>
        <v>58582.70245434247</v>
      </c>
      <c r="H23" s="197">
        <f t="shared" si="12"/>
        <v>30822.471595694638</v>
      </c>
      <c r="I23" s="197">
        <f t="shared" si="12"/>
        <v>67764.555800459013</v>
      </c>
      <c r="J23" s="197">
        <f t="shared" si="12"/>
        <v>96518.601730908093</v>
      </c>
      <c r="K23" s="197">
        <f t="shared" si="12"/>
        <v>133090.64810898516</v>
      </c>
      <c r="L23" s="197">
        <f t="shared" si="12"/>
        <v>169949.54369348288</v>
      </c>
      <c r="M23" s="197">
        <f t="shared" si="12"/>
        <v>197882.66952382409</v>
      </c>
      <c r="N23" s="197">
        <f t="shared" si="12"/>
        <v>225611.54620589042</v>
      </c>
      <c r="O23" s="197">
        <f t="shared" si="12"/>
        <v>260226.78334615106</v>
      </c>
      <c r="P23" s="197">
        <f t="shared" si="12"/>
        <v>293760.78336078371</v>
      </c>
      <c r="Q23" s="252"/>
      <c r="R23" s="252"/>
    </row>
    <row r="24" spans="1:18" ht="33" customHeight="1" x14ac:dyDescent="0.2">
      <c r="A24" s="201" t="s">
        <v>341</v>
      </c>
      <c r="B24" s="204"/>
      <c r="C24" s="204"/>
      <c r="D24" s="204"/>
      <c r="E24" s="204"/>
      <c r="F24" s="204"/>
      <c r="G24" s="204">
        <v>0.5</v>
      </c>
      <c r="H24" s="204">
        <v>1.5</v>
      </c>
      <c r="I24" s="204">
        <f>H24+0.5</f>
        <v>2</v>
      </c>
      <c r="J24" s="204">
        <f t="shared" ref="J24:P24" si="13">I24+0.5</f>
        <v>2.5</v>
      </c>
      <c r="K24" s="204">
        <f t="shared" si="13"/>
        <v>3</v>
      </c>
      <c r="L24" s="204">
        <f t="shared" si="13"/>
        <v>3.5</v>
      </c>
      <c r="M24" s="204">
        <f t="shared" si="13"/>
        <v>4</v>
      </c>
      <c r="N24" s="204">
        <f t="shared" si="13"/>
        <v>4.5</v>
      </c>
      <c r="O24" s="204">
        <f t="shared" si="13"/>
        <v>5</v>
      </c>
      <c r="P24" s="204">
        <f t="shared" si="13"/>
        <v>5.5</v>
      </c>
    </row>
    <row r="25" spans="1:18" ht="33" customHeight="1" x14ac:dyDescent="0.2">
      <c r="A25" s="201" t="s">
        <v>342</v>
      </c>
      <c r="B25" s="205"/>
      <c r="C25" s="205"/>
      <c r="D25" s="205"/>
      <c r="E25" s="205"/>
      <c r="F25" s="205"/>
      <c r="G25" s="205">
        <f t="shared" ref="G25:P25" si="14">1/(1+$B$49)^(G24)</f>
        <v>0.94121154202147594</v>
      </c>
      <c r="H25" s="205">
        <f t="shared" si="14"/>
        <v>0.83379969666094811</v>
      </c>
      <c r="I25" s="205">
        <f t="shared" si="14"/>
        <v>0.78478189823128985</v>
      </c>
      <c r="J25" s="205">
        <f t="shared" si="14"/>
        <v>0.73864578058481345</v>
      </c>
      <c r="K25" s="205">
        <f t="shared" si="14"/>
        <v>0.69522193415188893</v>
      </c>
      <c r="L25" s="205">
        <f t="shared" si="14"/>
        <v>0.65435090869025248</v>
      </c>
      <c r="M25" s="205">
        <f t="shared" si="14"/>
        <v>0.6158826277915066</v>
      </c>
      <c r="N25" s="205">
        <f t="shared" si="14"/>
        <v>0.57967583780788268</v>
      </c>
      <c r="O25" s="205">
        <f t="shared" si="14"/>
        <v>0.5455975891757483</v>
      </c>
      <c r="P25" s="205">
        <f t="shared" si="14"/>
        <v>0.51352274823130573</v>
      </c>
    </row>
    <row r="26" spans="1:18" ht="33" customHeight="1" x14ac:dyDescent="0.2">
      <c r="A26" s="203" t="s">
        <v>567</v>
      </c>
      <c r="B26" s="200">
        <f>B23</f>
        <v>15761</v>
      </c>
      <c r="C26" s="200">
        <f t="shared" ref="C26:F26" si="15">C23</f>
        <v>53228</v>
      </c>
      <c r="D26" s="200">
        <f t="shared" si="15"/>
        <v>-16616</v>
      </c>
      <c r="E26" s="200">
        <f t="shared" si="15"/>
        <v>-14781</v>
      </c>
      <c r="F26" s="200">
        <f t="shared" si="15"/>
        <v>29242</v>
      </c>
      <c r="G26" s="200">
        <f>G23*G25</f>
        <v>55138.71571283698</v>
      </c>
      <c r="H26" s="200">
        <f t="shared" ref="H26:P26" si="16">H23*H25</f>
        <v>25699.767466830879</v>
      </c>
      <c r="I26" s="200">
        <f t="shared" si="16"/>
        <v>53180.396733884387</v>
      </c>
      <c r="J26" s="200">
        <f t="shared" si="16"/>
        <v>71293.057916481339</v>
      </c>
      <c r="K26" s="200">
        <f t="shared" si="16"/>
        <v>92527.537795857104</v>
      </c>
      <c r="L26" s="200">
        <f t="shared" si="16"/>
        <v>111206.63834732429</v>
      </c>
      <c r="M26" s="200">
        <f t="shared" si="16"/>
        <v>121872.49850073106</v>
      </c>
      <c r="N26" s="200">
        <f t="shared" si="16"/>
        <v>130781.56206603136</v>
      </c>
      <c r="O26" s="200">
        <f t="shared" si="16"/>
        <v>141979.10563261979</v>
      </c>
      <c r="P26" s="200">
        <f t="shared" si="16"/>
        <v>150852.84479401089</v>
      </c>
      <c r="Q26" s="252"/>
      <c r="R26" s="252"/>
    </row>
    <row r="28" spans="1:18" ht="33" customHeight="1" x14ac:dyDescent="0.2">
      <c r="A28" s="211" t="s">
        <v>367</v>
      </c>
      <c r="B28" s="196"/>
      <c r="C28" s="196"/>
      <c r="D28" s="196"/>
      <c r="E28" s="211" t="s">
        <v>345</v>
      </c>
      <c r="F28" s="196"/>
      <c r="G28" s="196"/>
      <c r="H28" s="196"/>
      <c r="I28" s="211" t="s">
        <v>349</v>
      </c>
      <c r="J28" s="211"/>
      <c r="K28" s="211"/>
      <c r="L28" s="196"/>
      <c r="M28" s="196"/>
      <c r="N28" s="211"/>
      <c r="O28" s="211" t="s">
        <v>350</v>
      </c>
      <c r="P28" s="196"/>
      <c r="Q28" s="196"/>
      <c r="R28" s="196"/>
    </row>
    <row r="29" spans="1:18" ht="24" customHeight="1" x14ac:dyDescent="0.2">
      <c r="A29" s="207" t="s">
        <v>368</v>
      </c>
      <c r="B29" s="194"/>
      <c r="C29" s="208">
        <v>7.0999999999999994E-2</v>
      </c>
      <c r="E29" s="214" t="s">
        <v>347</v>
      </c>
      <c r="F29" s="184">
        <f>P12</f>
        <v>296031.75264774519</v>
      </c>
      <c r="I29" s="181" t="s">
        <v>343</v>
      </c>
      <c r="J29" s="186">
        <f>SUM(G15:P15)</f>
        <v>966618.17135371303</v>
      </c>
      <c r="M29" s="187" t="s">
        <v>351</v>
      </c>
      <c r="N29" s="188">
        <v>0.03</v>
      </c>
      <c r="O29" s="188">
        <v>3.5000000000000003E-2</v>
      </c>
      <c r="P29" s="188">
        <v>0.04</v>
      </c>
      <c r="Q29" s="188">
        <v>4.4999999999999998E-2</v>
      </c>
      <c r="R29" s="188">
        <v>0.05</v>
      </c>
    </row>
    <row r="30" spans="1:18" ht="24" customHeight="1" x14ac:dyDescent="0.2">
      <c r="A30" s="207" t="s">
        <v>380</v>
      </c>
      <c r="B30" s="194"/>
      <c r="C30" s="209">
        <f>Assumptions!C104</f>
        <v>0.92</v>
      </c>
      <c r="E30" s="214" t="s">
        <v>147</v>
      </c>
      <c r="F30" s="215">
        <f>B49</f>
        <v>0.12882212093704473</v>
      </c>
      <c r="I30" s="181" t="s">
        <v>352</v>
      </c>
      <c r="J30" s="186">
        <f>F33*P14</f>
        <v>1779959.756452946</v>
      </c>
      <c r="M30" s="189">
        <v>0.09</v>
      </c>
      <c r="N30" s="190">
        <f t="shared" ref="N30:R34" si="17">SUM($C$15:$L$15)+(($L$12*(1+N$29)/($M30-N$29)))*$L$14</f>
        <v>2359929.1668578144</v>
      </c>
      <c r="O30" s="190">
        <f t="shared" si="17"/>
        <v>2545588.5736832628</v>
      </c>
      <c r="P30" s="190">
        <f t="shared" si="17"/>
        <v>2768379.8618738009</v>
      </c>
      <c r="Q30" s="190">
        <f t="shared" si="17"/>
        <v>3040680.3252177918</v>
      </c>
      <c r="R30" s="190">
        <f t="shared" si="17"/>
        <v>3381055.9043977805</v>
      </c>
    </row>
    <row r="31" spans="1:18" ht="24" customHeight="1" x14ac:dyDescent="0.2">
      <c r="A31" s="207" t="s">
        <v>369</v>
      </c>
      <c r="B31" s="194"/>
      <c r="C31" s="208">
        <f>Assumptions!C103</f>
        <v>6.5000000000000002E-2</v>
      </c>
      <c r="E31" s="214" t="s">
        <v>155</v>
      </c>
      <c r="F31" s="215">
        <f>B48</f>
        <v>0.04</v>
      </c>
      <c r="I31" s="191" t="s">
        <v>388</v>
      </c>
      <c r="J31" s="192">
        <f>J29+J30</f>
        <v>2746577.9278066591</v>
      </c>
      <c r="M31" s="189">
        <v>9.5000000000000001E-2</v>
      </c>
      <c r="N31" s="190">
        <f t="shared" si="17"/>
        <v>2211480.2551194704</v>
      </c>
      <c r="O31" s="190">
        <f t="shared" si="17"/>
        <v>2369297.3020646027</v>
      </c>
      <c r="P31" s="190">
        <f t="shared" si="17"/>
        <v>2555808.3575452142</v>
      </c>
      <c r="Q31" s="190">
        <f t="shared" si="17"/>
        <v>2779621.6241219472</v>
      </c>
      <c r="R31" s="190">
        <f t="shared" si="17"/>
        <v>3053171.1721601766</v>
      </c>
    </row>
    <row r="32" spans="1:18" ht="24" customHeight="1" x14ac:dyDescent="0.2">
      <c r="A32" s="207" t="s">
        <v>370</v>
      </c>
      <c r="B32" s="194"/>
      <c r="C32" s="208">
        <f>C29+(C30*C31)</f>
        <v>0.1308</v>
      </c>
      <c r="E32" s="214" t="s">
        <v>348</v>
      </c>
      <c r="F32" s="184">
        <f>F29*(1+F31)</f>
        <v>307873.02275365504</v>
      </c>
      <c r="I32" s="181" t="s">
        <v>353</v>
      </c>
      <c r="J32" s="186">
        <f>FS!H29</f>
        <v>34192</v>
      </c>
      <c r="M32" s="189">
        <v>0.1</v>
      </c>
      <c r="N32" s="190">
        <f t="shared" si="17"/>
        <v>2084238.3307723186</v>
      </c>
      <c r="O32" s="190">
        <f t="shared" si="17"/>
        <v>2220127.7645411212</v>
      </c>
      <c r="P32" s="190">
        <f t="shared" si="17"/>
        <v>2378665.4372713915</v>
      </c>
      <c r="Q32" s="190">
        <f t="shared" si="17"/>
        <v>2566028.1414071647</v>
      </c>
      <c r="R32" s="190">
        <f t="shared" si="17"/>
        <v>2790863.3863700936</v>
      </c>
    </row>
    <row r="33" spans="1:18" ht="24" customHeight="1" x14ac:dyDescent="0.2">
      <c r="A33" s="194"/>
      <c r="B33" s="194"/>
      <c r="C33" s="194"/>
      <c r="E33" s="214" t="s">
        <v>154</v>
      </c>
      <c r="F33" s="185">
        <f>F32/(F30-F31)</f>
        <v>3466175.0868555484</v>
      </c>
      <c r="I33" s="181" t="s">
        <v>354</v>
      </c>
      <c r="J33" s="186">
        <f>FS!H40</f>
        <v>785</v>
      </c>
      <c r="M33" s="189">
        <v>0.105</v>
      </c>
      <c r="N33" s="190">
        <f t="shared" si="17"/>
        <v>1973961.9963381209</v>
      </c>
      <c r="O33" s="190">
        <f t="shared" si="17"/>
        <v>2092268.1609495662</v>
      </c>
      <c r="P33" s="190">
        <f t="shared" si="17"/>
        <v>2228775.2739627729</v>
      </c>
      <c r="Q33" s="190">
        <f t="shared" si="17"/>
        <v>2388033.5724781808</v>
      </c>
      <c r="R33" s="190">
        <f t="shared" si="17"/>
        <v>2576247.9252691171</v>
      </c>
    </row>
    <row r="34" spans="1:18" ht="24" customHeight="1" x14ac:dyDescent="0.2">
      <c r="A34" s="210" t="s">
        <v>371</v>
      </c>
      <c r="B34" s="194"/>
      <c r="C34" s="208">
        <f>(FS!H17)/(('Working '!L113+'Working '!L117)/2)</f>
        <v>3.9432128292398734E-2</v>
      </c>
      <c r="I34" s="181" t="s">
        <v>355</v>
      </c>
      <c r="J34" s="186">
        <f>'Working '!L126</f>
        <v>61998</v>
      </c>
      <c r="M34" s="189">
        <v>0.11</v>
      </c>
      <c r="N34" s="190">
        <f t="shared" si="17"/>
        <v>1877470.2037081975</v>
      </c>
      <c r="O34" s="190">
        <f t="shared" si="17"/>
        <v>1981456.5045035516</v>
      </c>
      <c r="P34" s="190">
        <f t="shared" si="17"/>
        <v>2100297.9911268139</v>
      </c>
      <c r="Q34" s="190">
        <f t="shared" si="17"/>
        <v>2237422.7833844237</v>
      </c>
      <c r="R34" s="190">
        <f t="shared" si="17"/>
        <v>2397401.7076849695</v>
      </c>
    </row>
    <row r="35" spans="1:18" ht="24" customHeight="1" x14ac:dyDescent="0.2">
      <c r="A35" s="210" t="s">
        <v>372</v>
      </c>
      <c r="B35" s="194"/>
      <c r="C35" s="208">
        <f>Assumptions!C107</f>
        <v>0.3</v>
      </c>
      <c r="I35" s="191" t="s">
        <v>356</v>
      </c>
      <c r="J35" s="192">
        <f>J31+J32+J33-J34</f>
        <v>2719556.9278066591</v>
      </c>
      <c r="M35" s="189">
        <f>M34+0.5%</f>
        <v>0.115</v>
      </c>
      <c r="N35" s="190">
        <f t="shared" ref="N35:R44" si="18">SUM($C$15:$L$15)+(($L$12*(1+N$29)/($M35-N$29)))*$L$14</f>
        <v>1792330.3866817942</v>
      </c>
      <c r="O35" s="190">
        <f t="shared" si="18"/>
        <v>1884496.3051132886</v>
      </c>
      <c r="P35" s="190">
        <f t="shared" si="18"/>
        <v>1988951.0126689826</v>
      </c>
      <c r="Q35" s="190">
        <f t="shared" si="18"/>
        <v>2108327.821304061</v>
      </c>
      <c r="R35" s="190">
        <f t="shared" si="18"/>
        <v>2246070.292806075</v>
      </c>
    </row>
    <row r="36" spans="1:18" ht="24" customHeight="1" x14ac:dyDescent="0.2">
      <c r="A36" s="210" t="s">
        <v>373</v>
      </c>
      <c r="B36" s="194"/>
      <c r="C36" s="208">
        <f>C34*(1-C35)</f>
        <v>2.7602489804679112E-2</v>
      </c>
      <c r="I36" s="181" t="s">
        <v>357</v>
      </c>
      <c r="J36" s="343">
        <v>2644</v>
      </c>
      <c r="M36" s="189">
        <f t="shared" ref="M36:M44" si="19">M35+0.5%</f>
        <v>0.12000000000000001</v>
      </c>
      <c r="N36" s="190">
        <f t="shared" si="18"/>
        <v>1716650.5493249916</v>
      </c>
      <c r="O36" s="190">
        <f t="shared" si="18"/>
        <v>1798943.1880042332</v>
      </c>
      <c r="P36" s="190">
        <f t="shared" si="18"/>
        <v>1891522.4065183802</v>
      </c>
      <c r="Q36" s="190">
        <f t="shared" si="18"/>
        <v>1996445.5208344136</v>
      </c>
      <c r="R36" s="190">
        <f t="shared" si="18"/>
        <v>2116357.6514813085</v>
      </c>
    </row>
    <row r="37" spans="1:18" ht="24" customHeight="1" x14ac:dyDescent="0.2">
      <c r="A37" s="194"/>
      <c r="B37" s="194"/>
      <c r="C37" s="194"/>
      <c r="I37" s="191" t="s">
        <v>358</v>
      </c>
      <c r="J37" s="193">
        <f>J35/J36</f>
        <v>1028.5767503050904</v>
      </c>
      <c r="M37" s="189">
        <f t="shared" si="19"/>
        <v>0.125</v>
      </c>
      <c r="N37" s="190">
        <f t="shared" si="18"/>
        <v>1648937.0106373262</v>
      </c>
      <c r="O37" s="190">
        <f t="shared" si="18"/>
        <v>1722895.972796184</v>
      </c>
      <c r="P37" s="190">
        <f t="shared" si="18"/>
        <v>1805555.9893266729</v>
      </c>
      <c r="Q37" s="190">
        <f t="shared" si="18"/>
        <v>1898548.507923472</v>
      </c>
      <c r="R37" s="190">
        <f t="shared" si="18"/>
        <v>2003940.0289998446</v>
      </c>
    </row>
    <row r="38" spans="1:18" ht="24" customHeight="1" x14ac:dyDescent="0.2">
      <c r="A38" s="210" t="s">
        <v>379</v>
      </c>
      <c r="B38" s="194" t="s">
        <v>118</v>
      </c>
      <c r="C38" s="212">
        <f>2644*1200</f>
        <v>3172800</v>
      </c>
      <c r="I38" s="181" t="s">
        <v>359</v>
      </c>
      <c r="J38" s="186">
        <v>1210</v>
      </c>
      <c r="M38" s="189">
        <f t="shared" si="19"/>
        <v>0.13</v>
      </c>
      <c r="N38" s="190">
        <f t="shared" si="18"/>
        <v>1587994.8258184271</v>
      </c>
      <c r="O38" s="190">
        <f t="shared" si="18"/>
        <v>1654853.7276100346</v>
      </c>
      <c r="P38" s="190">
        <f t="shared" si="18"/>
        <v>1729141.3962673768</v>
      </c>
      <c r="Q38" s="190">
        <f t="shared" si="18"/>
        <v>1812168.7906491114</v>
      </c>
      <c r="R38" s="190">
        <f t="shared" si="18"/>
        <v>1905574.6093285633</v>
      </c>
    </row>
    <row r="39" spans="1:18" ht="24" customHeight="1" x14ac:dyDescent="0.2">
      <c r="A39" s="210" t="s">
        <v>377</v>
      </c>
      <c r="B39" s="194" t="s">
        <v>118</v>
      </c>
      <c r="C39" s="212">
        <f>'Working '!L126</f>
        <v>61998</v>
      </c>
      <c r="I39" s="181" t="s">
        <v>360</v>
      </c>
      <c r="J39" s="234">
        <f>(J37-J38)/J38</f>
        <v>-0.14993656999579305</v>
      </c>
      <c r="M39" s="189">
        <f t="shared" si="19"/>
        <v>0.13500000000000001</v>
      </c>
      <c r="N39" s="190">
        <f t="shared" si="18"/>
        <v>1532856.658601328</v>
      </c>
      <c r="O39" s="190">
        <f t="shared" si="18"/>
        <v>1593615.7069425003</v>
      </c>
      <c r="P39" s="190">
        <f t="shared" si="18"/>
        <v>1660770.4445827436</v>
      </c>
      <c r="Q39" s="190">
        <f t="shared" si="18"/>
        <v>1735386.819738569</v>
      </c>
      <c r="R39" s="190">
        <f t="shared" si="18"/>
        <v>1818781.5919715506</v>
      </c>
    </row>
    <row r="40" spans="1:18" ht="24" customHeight="1" x14ac:dyDescent="0.2">
      <c r="A40" s="210" t="s">
        <v>378</v>
      </c>
      <c r="B40" s="194"/>
      <c r="C40" s="212">
        <f>SUM(C38:C39)</f>
        <v>3234798</v>
      </c>
      <c r="M40" s="189">
        <f t="shared" si="19"/>
        <v>0.14000000000000001</v>
      </c>
      <c r="N40" s="190">
        <f t="shared" si="18"/>
        <v>1482731.0520403287</v>
      </c>
      <c r="O40" s="190">
        <f t="shared" si="18"/>
        <v>1538209.878719493</v>
      </c>
      <c r="P40" s="190">
        <f t="shared" si="18"/>
        <v>1599236.5880665737</v>
      </c>
      <c r="Q40" s="190">
        <f t="shared" si="18"/>
        <v>1666687.161555452</v>
      </c>
      <c r="R40" s="190">
        <f t="shared" si="18"/>
        <v>1741632.2432097616</v>
      </c>
    </row>
    <row r="41" spans="1:18" ht="24" customHeight="1" x14ac:dyDescent="0.2">
      <c r="A41" s="210"/>
      <c r="B41" s="194"/>
      <c r="C41" s="212"/>
      <c r="M41" s="189">
        <f t="shared" si="19"/>
        <v>0.14500000000000002</v>
      </c>
      <c r="N41" s="190">
        <f t="shared" si="18"/>
        <v>1436964.1938759382</v>
      </c>
      <c r="O41" s="190">
        <f t="shared" si="18"/>
        <v>1487840.9439713042</v>
      </c>
      <c r="P41" s="190">
        <f t="shared" si="18"/>
        <v>1543563.0988376581</v>
      </c>
      <c r="Q41" s="190">
        <f t="shared" si="18"/>
        <v>1604857.4691906467</v>
      </c>
      <c r="R41" s="190">
        <f t="shared" si="18"/>
        <v>1672603.8785281607</v>
      </c>
    </row>
    <row r="42" spans="1:18" ht="24" customHeight="1" x14ac:dyDescent="0.2">
      <c r="A42" s="210" t="s">
        <v>374</v>
      </c>
      <c r="B42" s="194"/>
      <c r="C42" s="208">
        <f>C38/C40</f>
        <v>0.98083404280576403</v>
      </c>
      <c r="M42" s="189">
        <f t="shared" si="19"/>
        <v>0.15000000000000002</v>
      </c>
      <c r="N42" s="190">
        <f t="shared" si="18"/>
        <v>1395011.2405585803</v>
      </c>
      <c r="O42" s="190">
        <f t="shared" si="18"/>
        <v>1441851.9165925235</v>
      </c>
      <c r="P42" s="190">
        <f t="shared" si="18"/>
        <v>1492950.8359022802</v>
      </c>
      <c r="Q42" s="190">
        <f t="shared" si="18"/>
        <v>1548916.3189558226</v>
      </c>
      <c r="R42" s="190">
        <f t="shared" si="18"/>
        <v>1610478.3503147198</v>
      </c>
    </row>
    <row r="43" spans="1:18" ht="24" customHeight="1" x14ac:dyDescent="0.2">
      <c r="A43" s="210" t="s">
        <v>375</v>
      </c>
      <c r="B43" s="194"/>
      <c r="C43" s="208">
        <f>C39/C40</f>
        <v>1.916595719423593E-2</v>
      </c>
      <c r="M43" s="189">
        <f t="shared" si="19"/>
        <v>0.15500000000000003</v>
      </c>
      <c r="N43" s="190">
        <f t="shared" si="18"/>
        <v>1356414.5235066109</v>
      </c>
      <c r="O43" s="190">
        <f t="shared" si="18"/>
        <v>1399695.3081619744</v>
      </c>
      <c r="P43" s="190">
        <f t="shared" si="18"/>
        <v>1446739.6393091092</v>
      </c>
      <c r="Q43" s="190">
        <f t="shared" si="18"/>
        <v>1498060.7278332557</v>
      </c>
      <c r="R43" s="190">
        <f t="shared" si="18"/>
        <v>1554269.5390739879</v>
      </c>
    </row>
    <row r="44" spans="1:18" ht="24" customHeight="1" x14ac:dyDescent="0.2">
      <c r="A44" s="210"/>
      <c r="B44" s="194"/>
      <c r="C44" s="212"/>
      <c r="M44" s="189">
        <f t="shared" si="19"/>
        <v>0.16000000000000003</v>
      </c>
      <c r="N44" s="190">
        <f t="shared" si="18"/>
        <v>1320786.7846894083</v>
      </c>
      <c r="O44" s="190">
        <f t="shared" si="18"/>
        <v>1360911.2284058696</v>
      </c>
      <c r="P44" s="190">
        <f t="shared" si="18"/>
        <v>1404379.375765369</v>
      </c>
      <c r="Q44" s="190">
        <f t="shared" si="18"/>
        <v>1451627.3620256945</v>
      </c>
      <c r="R44" s="190">
        <f t="shared" si="18"/>
        <v>1503170.6197642314</v>
      </c>
    </row>
    <row r="45" spans="1:18" ht="24" customHeight="1" x14ac:dyDescent="0.2">
      <c r="A45" s="195" t="s">
        <v>376</v>
      </c>
      <c r="B45" s="194"/>
      <c r="C45" s="213">
        <f>C42*C32+C43*C36</f>
        <v>0.12882212093704473</v>
      </c>
    </row>
    <row r="46" spans="1:18" ht="24" customHeight="1" x14ac:dyDescent="0.2">
      <c r="A46" s="196" t="s">
        <v>344</v>
      </c>
      <c r="B46" s="196"/>
      <c r="C46" s="196"/>
    </row>
    <row r="47" spans="1:18" ht="24" customHeight="1" x14ac:dyDescent="0.2">
      <c r="A47" s="182" t="s">
        <v>346</v>
      </c>
      <c r="B47" s="183">
        <v>0.06</v>
      </c>
    </row>
    <row r="48" spans="1:18" ht="24" customHeight="1" x14ac:dyDescent="0.2">
      <c r="A48" s="182" t="s">
        <v>156</v>
      </c>
      <c r="B48" s="183">
        <f>Assumptions!C109</f>
        <v>0.04</v>
      </c>
    </row>
    <row r="49" spans="1:2" ht="24" customHeight="1" x14ac:dyDescent="0.2">
      <c r="A49" s="182" t="s">
        <v>147</v>
      </c>
      <c r="B49" s="183">
        <f>C45</f>
        <v>0.12882212093704473</v>
      </c>
    </row>
    <row r="50" spans="1:2" ht="24" customHeight="1" x14ac:dyDescent="0.2"/>
    <row r="51" spans="1:2" ht="24" customHeight="1" x14ac:dyDescent="0.2"/>
    <row r="52" spans="1:2" ht="24" customHeight="1" x14ac:dyDescent="0.2"/>
    <row r="53" spans="1:2" ht="24" customHeight="1" x14ac:dyDescent="0.2"/>
    <row r="54" spans="1:2" ht="24" customHeight="1" x14ac:dyDescent="0.2"/>
    <row r="55" spans="1:2" ht="24" customHeight="1" x14ac:dyDescent="0.2"/>
    <row r="56" spans="1:2" ht="24" customHeight="1" x14ac:dyDescent="0.2"/>
    <row r="57" spans="1:2" ht="24" customHeight="1" x14ac:dyDescent="0.2"/>
    <row r="58" spans="1:2" ht="24" customHeight="1" x14ac:dyDescent="0.2"/>
    <row r="59" spans="1:2" ht="24" customHeight="1" x14ac:dyDescent="0.2"/>
    <row r="60" spans="1:2" ht="24" customHeight="1" x14ac:dyDescent="0.2"/>
    <row r="61" spans="1:2" ht="24" customHeight="1" x14ac:dyDescent="0.2"/>
    <row r="62" spans="1:2" ht="24" customHeight="1" x14ac:dyDescent="0.2"/>
    <row r="63" spans="1:2" ht="24" customHeight="1" x14ac:dyDescent="0.2"/>
    <row r="64" spans="1:2" ht="24" customHeight="1" x14ac:dyDescent="0.2"/>
    <row r="65" ht="24" customHeight="1" x14ac:dyDescent="0.2"/>
    <row r="66" ht="24" customHeight="1" x14ac:dyDescent="0.2"/>
    <row r="67" ht="24" customHeight="1" x14ac:dyDescent="0.2"/>
    <row r="68" ht="24" customHeight="1" x14ac:dyDescent="0.2"/>
    <row r="69" ht="24" customHeight="1" x14ac:dyDescent="0.2"/>
    <row r="70" ht="24" customHeight="1" x14ac:dyDescent="0.2"/>
    <row r="71" ht="24" customHeight="1" x14ac:dyDescent="0.2"/>
    <row r="72" ht="24" customHeight="1" x14ac:dyDescent="0.2"/>
    <row r="73" ht="24" customHeight="1" x14ac:dyDescent="0.2"/>
    <row r="74" ht="24" customHeight="1" x14ac:dyDescent="0.2"/>
    <row r="75" ht="24" customHeight="1" x14ac:dyDescent="0.2"/>
    <row r="76" ht="24" customHeight="1" x14ac:dyDescent="0.2"/>
    <row r="77" ht="24" customHeight="1" x14ac:dyDescent="0.2"/>
    <row r="78" ht="24" customHeight="1" x14ac:dyDescent="0.2"/>
    <row r="79" ht="24" customHeight="1" x14ac:dyDescent="0.2"/>
    <row r="80" ht="24" customHeight="1" x14ac:dyDescent="0.2"/>
    <row r="81" spans="1:18" ht="24" customHeight="1" x14ac:dyDescent="0.2"/>
    <row r="89" spans="1:18" ht="33" customHeight="1" x14ac:dyDescent="0.2">
      <c r="A89" s="277" t="s">
        <v>361</v>
      </c>
      <c r="B89" s="244"/>
      <c r="C89" s="244"/>
      <c r="D89" s="244"/>
      <c r="E89" s="244"/>
      <c r="F89" s="244"/>
      <c r="G89" s="244"/>
      <c r="H89" s="244"/>
      <c r="I89" s="244"/>
      <c r="J89" s="244"/>
      <c r="K89" s="244"/>
      <c r="L89" s="244"/>
      <c r="M89" s="244"/>
      <c r="N89" s="244"/>
      <c r="O89" s="244"/>
      <c r="P89" s="244"/>
      <c r="Q89" s="244"/>
      <c r="R89" s="244"/>
    </row>
  </sheetData>
  <mergeCells count="21">
    <mergeCell ref="A89:R89"/>
    <mergeCell ref="Q6:R6"/>
    <mergeCell ref="Q7:R7"/>
    <mergeCell ref="Q8:R8"/>
    <mergeCell ref="Q9:R9"/>
    <mergeCell ref="Q10:R10"/>
    <mergeCell ref="Q11:R11"/>
    <mergeCell ref="Q12:R12"/>
    <mergeCell ref="Q19:R19"/>
    <mergeCell ref="Q20:R20"/>
    <mergeCell ref="Q21:R21"/>
    <mergeCell ref="Q22:R22"/>
    <mergeCell ref="Q23:R23"/>
    <mergeCell ref="Q26:R26"/>
    <mergeCell ref="A1:R1"/>
    <mergeCell ref="A2:R2"/>
    <mergeCell ref="Q5:R5"/>
    <mergeCell ref="Q15:R15"/>
    <mergeCell ref="Q18:R18"/>
    <mergeCell ref="A4:R4"/>
    <mergeCell ref="A17:R17"/>
  </mergeCells>
  <pageMargins left="0.7" right="0.7" top="0.75" bottom="0.75" header="0.3" footer="0.3"/>
  <pageSetup paperSize="9" orientation="portrait" horizontalDpi="0" verticalDpi="0"/>
  <drawing r:id="rId1"/>
  <extLst>
    <ext xmlns:x14="http://schemas.microsoft.com/office/spreadsheetml/2009/9/main" uri="{05C60535-1F16-4fd2-B633-F4F36F0B64E0}">
      <x14:sparklineGroups xmlns:xm="http://schemas.microsoft.com/office/excel/2006/main">
        <x14:sparklineGroup type="column" displayEmptyCellsAs="gap" high="1" low="1" xr2:uid="{9C232862-ABFA-B149-B780-36AF904730B5}">
          <x14:colorSeries rgb="FF5687C2"/>
          <x14:colorNegative rgb="FFFFB620"/>
          <x14:colorAxis rgb="FF000000"/>
          <x14:colorMarkers rgb="FFD70077"/>
          <x14:colorFirst rgb="FF777777"/>
          <x14:colorLast rgb="FF359CEB"/>
          <x14:colorHigh rgb="FF56BE79"/>
          <x14:colorLow rgb="FFFF5055"/>
          <x14:sparklines>
            <x14:sparkline>
              <xm:f>Valuation!B26:P26</xm:f>
              <xm:sqref>Q26</xm:sqref>
            </x14:sparkline>
          </x14:sparklines>
        </x14:sparklineGroup>
        <x14:sparklineGroup type="column" displayEmptyCellsAs="gap" high="1" low="1" xr2:uid="{31783856-FF6C-3A48-B115-CA585C906BD4}">
          <x14:colorSeries rgb="FF5687C2"/>
          <x14:colorNegative rgb="FFFFB620"/>
          <x14:colorAxis rgb="FF000000"/>
          <x14:colorMarkers rgb="FFD70077"/>
          <x14:colorFirst rgb="FF777777"/>
          <x14:colorLast rgb="FF359CEB"/>
          <x14:colorHigh rgb="FF56BE79"/>
          <x14:colorLow rgb="FFFF5055"/>
          <x14:sparklines>
            <x14:sparkline>
              <xm:f>Valuation!B18:P18</xm:f>
              <xm:sqref>Q18</xm:sqref>
            </x14:sparkline>
            <x14:sparkline>
              <xm:f>Valuation!B19:P19</xm:f>
              <xm:sqref>Q19</xm:sqref>
            </x14:sparkline>
            <x14:sparkline>
              <xm:f>Valuation!B20:P20</xm:f>
              <xm:sqref>Q20</xm:sqref>
            </x14:sparkline>
            <x14:sparkline>
              <xm:f>Valuation!B21:P21</xm:f>
              <xm:sqref>Q21</xm:sqref>
            </x14:sparkline>
            <x14:sparkline>
              <xm:f>Valuation!B22:P22</xm:f>
              <xm:sqref>Q22</xm:sqref>
            </x14:sparkline>
            <x14:sparkline>
              <xm:f>Valuation!B23:P23</xm:f>
              <xm:sqref>Q23</xm:sqref>
            </x14:sparkline>
          </x14:sparklines>
        </x14:sparklineGroup>
        <x14:sparklineGroup type="column" displayEmptyCellsAs="gap" high="1" low="1" xr2:uid="{7DF10718-7244-DF44-9A62-BC7E53D1E70D}">
          <x14:colorSeries rgb="FF5687C2"/>
          <x14:colorNegative rgb="FFFFB620"/>
          <x14:colorAxis rgb="FF000000"/>
          <x14:colorMarkers rgb="FFD70077"/>
          <x14:colorFirst rgb="FF777777"/>
          <x14:colorLast rgb="FF359CEB"/>
          <x14:colorHigh rgb="FF56BE79"/>
          <x14:colorLow rgb="FFFF5055"/>
          <x14:sparklines>
            <x14:sparkline>
              <xm:f>Valuation!B15:P15</xm:f>
              <xm:sqref>Q15</xm:sqref>
            </x14:sparkline>
          </x14:sparklines>
        </x14:sparklineGroup>
        <x14:sparklineGroup type="column" displayEmptyCellsAs="gap" high="1" low="1" xr2:uid="{E4A5D4B1-0ADF-4C40-9091-353FEAFBF718}">
          <x14:colorSeries rgb="FF5687C2"/>
          <x14:colorNegative rgb="FFFFB620"/>
          <x14:colorAxis rgb="FF000000"/>
          <x14:colorMarkers rgb="FFD70077"/>
          <x14:colorFirst rgb="FF777777"/>
          <x14:colorLast rgb="FF359CEB"/>
          <x14:colorHigh rgb="FF56BE79"/>
          <x14:colorLow rgb="FFFF5055"/>
          <x14:sparklines>
            <x14:sparkline>
              <xm:f>Valuation!B6:P6</xm:f>
              <xm:sqref>Q6</xm:sqref>
            </x14:sparkline>
            <x14:sparkline>
              <xm:f>Valuation!B7:P7</xm:f>
              <xm:sqref>Q7</xm:sqref>
            </x14:sparkline>
            <x14:sparkline>
              <xm:f>Valuation!B8:P8</xm:f>
              <xm:sqref>Q8</xm:sqref>
            </x14:sparkline>
            <x14:sparkline>
              <xm:f>Valuation!B9:P9</xm:f>
              <xm:sqref>Q9</xm:sqref>
            </x14:sparkline>
            <x14:sparkline>
              <xm:f>Valuation!B10:P10</xm:f>
              <xm:sqref>Q10</xm:sqref>
            </x14:sparkline>
            <x14:sparkline>
              <xm:f>Valuation!B11:P11</xm:f>
              <xm:sqref>Q11</xm:sqref>
            </x14:sparkline>
            <x14:sparkline>
              <xm:f>Valuation!B12:P12</xm:f>
              <xm:sqref>Q12</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55594-B0AE-614C-8402-C119CEA26BB8}">
  <dimension ref="F2:N75"/>
  <sheetViews>
    <sheetView showGridLines="0" topLeftCell="D25" zoomScale="136" workbookViewId="0">
      <selection activeCell="N19" sqref="N19"/>
    </sheetView>
  </sheetViews>
  <sheetFormatPr baseColWidth="10" defaultColWidth="8.83203125" defaultRowHeight="16" x14ac:dyDescent="0.2"/>
  <cols>
    <col min="5" max="5" width="3" customWidth="1"/>
    <col min="6" max="6" width="26.1640625" bestFit="1" customWidth="1"/>
    <col min="7" max="7" width="25.5" customWidth="1"/>
    <col min="8" max="8" width="18.33203125" bestFit="1" customWidth="1"/>
    <col min="9" max="9" width="17.33203125" bestFit="1" customWidth="1"/>
    <col min="10" max="10" width="18.1640625" bestFit="1" customWidth="1"/>
    <col min="11" max="11" width="17.33203125" bestFit="1" customWidth="1"/>
    <col min="12" max="12" width="15.6640625" bestFit="1" customWidth="1"/>
    <col min="13" max="13" width="7.33203125" bestFit="1" customWidth="1"/>
    <col min="14" max="14" width="19" customWidth="1"/>
  </cols>
  <sheetData>
    <row r="2" spans="6:14" ht="73" customHeight="1" x14ac:dyDescent="0.2">
      <c r="F2" s="293" t="s">
        <v>105</v>
      </c>
      <c r="G2" s="294"/>
      <c r="H2" s="294"/>
      <c r="I2" s="294"/>
      <c r="J2" s="294"/>
      <c r="K2" s="294"/>
      <c r="L2" s="294"/>
      <c r="M2" s="294"/>
      <c r="N2" s="294"/>
    </row>
    <row r="3" spans="6:14" x14ac:dyDescent="0.2">
      <c r="F3" s="279" t="s">
        <v>389</v>
      </c>
      <c r="G3" s="244"/>
      <c r="H3" s="244"/>
      <c r="I3" s="244"/>
      <c r="J3" s="244"/>
      <c r="K3" s="244"/>
      <c r="L3" s="244"/>
      <c r="M3" s="244"/>
      <c r="N3" s="244"/>
    </row>
    <row r="5" spans="6:14" x14ac:dyDescent="0.2">
      <c r="F5" s="216" t="s">
        <v>390</v>
      </c>
      <c r="G5" s="295">
        <f ca="1">TODAY()</f>
        <v>46297</v>
      </c>
      <c r="I5" s="216" t="s">
        <v>391</v>
      </c>
      <c r="J5" s="296" t="s">
        <v>392</v>
      </c>
      <c r="L5" s="216" t="s">
        <v>393</v>
      </c>
      <c r="M5" s="217" t="s">
        <v>118</v>
      </c>
    </row>
    <row r="7" spans="6:14" x14ac:dyDescent="0.2">
      <c r="F7" s="280" t="s">
        <v>394</v>
      </c>
      <c r="G7" s="244"/>
      <c r="H7" s="244"/>
      <c r="I7" s="244"/>
      <c r="J7" s="244"/>
      <c r="K7" s="244"/>
      <c r="L7" s="244"/>
      <c r="M7" s="244"/>
      <c r="N7" s="244"/>
    </row>
    <row r="8" spans="6:14" x14ac:dyDescent="0.2">
      <c r="F8" s="218" t="s">
        <v>395</v>
      </c>
      <c r="G8" s="218" t="s">
        <v>396</v>
      </c>
      <c r="H8" s="243" t="s">
        <v>397</v>
      </c>
      <c r="I8" s="244"/>
      <c r="J8" s="244"/>
      <c r="K8" s="244"/>
      <c r="L8" s="244"/>
      <c r="M8" s="244"/>
      <c r="N8" s="244"/>
    </row>
    <row r="9" spans="6:14" ht="28" customHeight="1" x14ac:dyDescent="0.2">
      <c r="F9" s="219" t="s">
        <v>398</v>
      </c>
      <c r="G9" s="219" t="s">
        <v>399</v>
      </c>
      <c r="H9" s="281" t="s">
        <v>400</v>
      </c>
      <c r="I9" s="281"/>
      <c r="J9" s="281"/>
      <c r="K9" s="281"/>
      <c r="L9" s="281"/>
      <c r="M9" s="281"/>
      <c r="N9" s="281"/>
    </row>
    <row r="10" spans="6:14" x14ac:dyDescent="0.2">
      <c r="F10" s="219" t="s">
        <v>401</v>
      </c>
      <c r="G10" s="219" t="s">
        <v>402</v>
      </c>
      <c r="H10" s="281" t="s">
        <v>403</v>
      </c>
      <c r="I10" s="281"/>
      <c r="J10" s="281"/>
      <c r="K10" s="281"/>
      <c r="L10" s="281"/>
      <c r="M10" s="281"/>
      <c r="N10" s="281"/>
    </row>
    <row r="11" spans="6:14" x14ac:dyDescent="0.2">
      <c r="F11" s="219" t="s">
        <v>404</v>
      </c>
      <c r="G11" s="219" t="s">
        <v>402</v>
      </c>
      <c r="H11" s="281" t="s">
        <v>403</v>
      </c>
      <c r="I11" s="281"/>
      <c r="J11" s="281"/>
      <c r="K11" s="281"/>
      <c r="L11" s="281"/>
      <c r="M11" s="281"/>
      <c r="N11" s="281"/>
    </row>
    <row r="12" spans="6:14" x14ac:dyDescent="0.2">
      <c r="F12" s="219" t="s">
        <v>405</v>
      </c>
      <c r="G12" s="219" t="s">
        <v>402</v>
      </c>
      <c r="H12" s="281" t="s">
        <v>403</v>
      </c>
      <c r="I12" s="281"/>
      <c r="J12" s="281"/>
      <c r="K12" s="281"/>
      <c r="L12" s="281"/>
      <c r="M12" s="281"/>
      <c r="N12" s="281"/>
    </row>
    <row r="13" spans="6:14" x14ac:dyDescent="0.2">
      <c r="F13" s="219" t="s">
        <v>406</v>
      </c>
      <c r="G13" s="219" t="s">
        <v>402</v>
      </c>
      <c r="H13" s="281" t="s">
        <v>403</v>
      </c>
      <c r="I13" s="281"/>
      <c r="J13" s="281"/>
      <c r="K13" s="281"/>
      <c r="L13" s="281"/>
      <c r="M13" s="281"/>
      <c r="N13" s="281"/>
    </row>
    <row r="14" spans="6:14" ht="28" x14ac:dyDescent="0.2">
      <c r="F14" s="219" t="s">
        <v>407</v>
      </c>
      <c r="G14" s="219" t="s">
        <v>408</v>
      </c>
      <c r="H14" s="281" t="s">
        <v>409</v>
      </c>
      <c r="I14" s="281"/>
      <c r="J14" s="281"/>
      <c r="K14" s="281"/>
      <c r="L14" s="281"/>
      <c r="M14" s="281"/>
      <c r="N14" s="281"/>
    </row>
    <row r="15" spans="6:14" x14ac:dyDescent="0.2">
      <c r="F15" s="216" t="s">
        <v>410</v>
      </c>
      <c r="G15" s="282" t="s">
        <v>411</v>
      </c>
      <c r="H15" s="244"/>
      <c r="I15" s="244"/>
      <c r="J15" s="244"/>
      <c r="K15" s="244"/>
      <c r="L15" s="244"/>
      <c r="M15" s="244"/>
      <c r="N15" s="244"/>
    </row>
    <row r="16" spans="6:14" x14ac:dyDescent="0.2">
      <c r="G16" s="244"/>
      <c r="H16" s="244"/>
      <c r="I16" s="244"/>
      <c r="J16" s="244"/>
      <c r="K16" s="244"/>
      <c r="L16" s="244"/>
      <c r="M16" s="244"/>
      <c r="N16" s="244"/>
    </row>
    <row r="18" spans="6:12" x14ac:dyDescent="0.2">
      <c r="F18" s="278" t="s">
        <v>412</v>
      </c>
      <c r="G18" s="278"/>
      <c r="H18" s="278"/>
      <c r="I18" s="278"/>
      <c r="J18" s="278"/>
      <c r="K18" s="278"/>
      <c r="L18" s="278"/>
    </row>
    <row r="19" spans="6:12" ht="84" x14ac:dyDescent="0.2">
      <c r="F19" s="297" t="s">
        <v>413</v>
      </c>
      <c r="G19" s="297" t="e" vm="1">
        <v>#VALUE!</v>
      </c>
      <c r="H19" s="297" t="e" vm="2">
        <v>#VALUE!</v>
      </c>
      <c r="I19" s="297" t="e" vm="3">
        <v>#VALUE!</v>
      </c>
      <c r="J19" s="297" t="e" vm="4">
        <v>#VALUE!</v>
      </c>
      <c r="K19" s="297" t="e" vm="5">
        <v>#VALUE!</v>
      </c>
      <c r="L19" s="297" t="e" vm="6">
        <v>#VALUE!</v>
      </c>
    </row>
    <row r="20" spans="6:12" x14ac:dyDescent="0.2">
      <c r="F20" s="298" t="s">
        <v>420</v>
      </c>
      <c r="G20" s="299" cm="1">
        <f t="array" aca="1" ref="G20" ca="1">_FV(G19,"Price")</f>
        <v>1188.8</v>
      </c>
      <c r="H20" s="299" cm="1">
        <f t="array" aca="1" ref="H20" ca="1">_FV(H19,"Price")</f>
        <v>1338.2</v>
      </c>
      <c r="I20" s="299" cm="1">
        <f t="array" aca="1" ref="I20" ca="1">_FV(I19,"Price")</f>
        <v>4237</v>
      </c>
      <c r="J20" s="299" cm="1">
        <f t="array" aca="1" ref="J20" ca="1">_FV(J19,"Price")</f>
        <v>786.9</v>
      </c>
      <c r="K20" s="299" cm="1">
        <f t="array" aca="1" ref="K20" ca="1">_FV(K19,"Price")</f>
        <v>679.45</v>
      </c>
      <c r="L20" s="299" cm="1">
        <f t="array" aca="1" ref="L20" ca="1">_FV(L19,"Price")</f>
        <v>74.94</v>
      </c>
    </row>
    <row r="21" spans="6:12" x14ac:dyDescent="0.2">
      <c r="F21" s="298" t="s">
        <v>453</v>
      </c>
      <c r="G21" s="300" cm="1">
        <f t="array" aca="1" ref="G21" ca="1">_FV(G19,"Shares outstanding",TRUE)/100000</f>
        <v>2644.0520000000001</v>
      </c>
      <c r="H21" s="300" cm="1">
        <f t="array" aca="1" ref="H21" ca="1">_FV(H19,"Shares outstanding",TRUE)/100000</f>
        <v>7273.5079999999998</v>
      </c>
      <c r="I21" s="300" cm="1">
        <f t="array" aca="1" ref="I21" ca="1">_FV(I19,"Shares outstanding",TRUE)/100000</f>
        <v>1339.8910000000001</v>
      </c>
      <c r="J21" s="300" cm="1">
        <f t="array" aca="1" ref="J21" ca="1">_FV(J19,"Shares outstanding",TRUE)/100000</f>
        <v>314.61290000000002</v>
      </c>
      <c r="K21" s="300" cm="1">
        <f t="array" aca="1" ref="K21" ca="1">_FV(K19,"Shares outstanding",TRUE)/100000</f>
        <v>2797.1010000000001</v>
      </c>
      <c r="L21" s="300" cm="1">
        <f t="array" aca="1" ref="L21" ca="1">_FV(L19,"Shares outstanding",TRUE)/100000</f>
        <v>2079.0129999999999</v>
      </c>
    </row>
    <row r="22" spans="6:12" x14ac:dyDescent="0.2">
      <c r="F22" s="298" t="s">
        <v>421</v>
      </c>
      <c r="G22" s="301">
        <f t="shared" ref="G22:L22" ca="1" si="0">IFERROR(G20*G21,"")</f>
        <v>3143249.0175999999</v>
      </c>
      <c r="H22" s="301">
        <f ca="1">IFERROR(H20*H21,"")</f>
        <v>9733408.4056000002</v>
      </c>
      <c r="I22" s="301">
        <f t="shared" ca="1" si="0"/>
        <v>5677118.1670000004</v>
      </c>
      <c r="J22" s="301">
        <f t="shared" ca="1" si="0"/>
        <v>247568.89101000002</v>
      </c>
      <c r="K22" s="301">
        <f t="shared" ca="1" si="0"/>
        <v>1900490.2744500001</v>
      </c>
      <c r="L22" s="301">
        <f t="shared" ca="1" si="0"/>
        <v>155801.23421999998</v>
      </c>
    </row>
    <row r="23" spans="6:12" x14ac:dyDescent="0.2">
      <c r="F23" s="298" t="s">
        <v>422</v>
      </c>
      <c r="G23" s="302">
        <f>'Working '!L126</f>
        <v>61998</v>
      </c>
      <c r="H23" s="302">
        <v>2500</v>
      </c>
      <c r="I23" s="302">
        <v>32000</v>
      </c>
      <c r="J23" s="302">
        <v>48000</v>
      </c>
      <c r="K23" s="302">
        <v>115000</v>
      </c>
      <c r="L23" s="302">
        <v>32000</v>
      </c>
    </row>
    <row r="24" spans="6:12" x14ac:dyDescent="0.2">
      <c r="F24" s="298" t="s">
        <v>309</v>
      </c>
      <c r="G24" s="302">
        <f>FS!H29</f>
        <v>34192</v>
      </c>
      <c r="H24" s="302">
        <v>185000</v>
      </c>
      <c r="I24" s="302">
        <v>21000</v>
      </c>
      <c r="J24" s="302">
        <v>8500</v>
      </c>
      <c r="K24" s="302">
        <v>18000</v>
      </c>
      <c r="L24" s="302">
        <v>4500</v>
      </c>
    </row>
    <row r="25" spans="6:12" x14ac:dyDescent="0.2">
      <c r="F25" s="298" t="s">
        <v>423</v>
      </c>
      <c r="G25" s="301">
        <f>IFERROR(G23-G24,"")</f>
        <v>27806</v>
      </c>
      <c r="H25" s="301">
        <f t="shared" ref="H25:L25" si="1">IFERROR(H23-H24,"")</f>
        <v>-182500</v>
      </c>
      <c r="I25" s="301">
        <f t="shared" si="1"/>
        <v>11000</v>
      </c>
      <c r="J25" s="301">
        <f t="shared" si="1"/>
        <v>39500</v>
      </c>
      <c r="K25" s="301">
        <f t="shared" si="1"/>
        <v>97000</v>
      </c>
      <c r="L25" s="301">
        <f t="shared" si="1"/>
        <v>27500</v>
      </c>
    </row>
    <row r="26" spans="6:12" x14ac:dyDescent="0.2">
      <c r="F26" s="298" t="s">
        <v>424</v>
      </c>
      <c r="G26" s="301">
        <f t="shared" ref="G26:L26" ca="1" si="2">IFERROR(G22+G25,"")</f>
        <v>3171055.0175999999</v>
      </c>
      <c r="H26" s="301">
        <f t="shared" ca="1" si="2"/>
        <v>9550908.4056000002</v>
      </c>
      <c r="I26" s="301">
        <f t="shared" ca="1" si="2"/>
        <v>5688118.1670000004</v>
      </c>
      <c r="J26" s="301">
        <f t="shared" ca="1" si="2"/>
        <v>287068.89101000002</v>
      </c>
      <c r="K26" s="301">
        <f t="shared" ca="1" si="2"/>
        <v>1997490.2744500001</v>
      </c>
      <c r="L26" s="301">
        <f t="shared" ca="1" si="2"/>
        <v>183301.23421999998</v>
      </c>
    </row>
    <row r="27" spans="6:12" x14ac:dyDescent="0.2">
      <c r="F27" s="298" t="s">
        <v>102</v>
      </c>
      <c r="G27" s="302">
        <f>'Working '!L21</f>
        <v>1944444</v>
      </c>
      <c r="H27" s="302">
        <v>2850000</v>
      </c>
      <c r="I27" s="302">
        <v>1250000</v>
      </c>
      <c r="J27" s="302">
        <v>380000</v>
      </c>
      <c r="K27" s="302">
        <v>550000</v>
      </c>
      <c r="L27" s="302">
        <v>180000</v>
      </c>
    </row>
    <row r="28" spans="6:12" x14ac:dyDescent="0.2">
      <c r="F28" s="298" t="s">
        <v>425</v>
      </c>
      <c r="G28" s="302">
        <f>'Working '!L56</f>
        <v>85095</v>
      </c>
      <c r="H28" s="302">
        <v>450000</v>
      </c>
      <c r="I28" s="302">
        <v>220000</v>
      </c>
      <c r="J28" s="302">
        <v>55000</v>
      </c>
      <c r="K28" s="302">
        <v>85000</v>
      </c>
      <c r="L28" s="302">
        <v>35000</v>
      </c>
    </row>
    <row r="29" spans="6:12" x14ac:dyDescent="0.2">
      <c r="F29" s="298" t="s">
        <v>335</v>
      </c>
      <c r="G29" s="302">
        <f>'Working '!L54</f>
        <v>61797</v>
      </c>
      <c r="H29" s="302">
        <v>380000</v>
      </c>
      <c r="I29" s="302">
        <v>180000</v>
      </c>
      <c r="J29" s="302">
        <v>40000</v>
      </c>
      <c r="K29" s="302">
        <v>60000</v>
      </c>
      <c r="L29" s="302">
        <v>25000</v>
      </c>
    </row>
    <row r="30" spans="6:12" x14ac:dyDescent="0.2">
      <c r="F30" s="298" t="s">
        <v>426</v>
      </c>
      <c r="G30" s="302">
        <f>'Working '!L52</f>
        <v>44241</v>
      </c>
      <c r="H30" s="302">
        <v>280000</v>
      </c>
      <c r="I30" s="302">
        <v>145000</v>
      </c>
      <c r="J30" s="302">
        <v>28000</v>
      </c>
      <c r="K30" s="302">
        <v>35000</v>
      </c>
      <c r="L30" s="302">
        <v>15000</v>
      </c>
    </row>
    <row r="31" spans="6:12" x14ac:dyDescent="0.2">
      <c r="F31" s="303"/>
      <c r="G31" s="303"/>
      <c r="H31" s="303"/>
      <c r="I31" s="303"/>
      <c r="J31" s="303"/>
      <c r="K31" s="303"/>
      <c r="L31" s="303"/>
    </row>
    <row r="32" spans="6:12" x14ac:dyDescent="0.2">
      <c r="F32" s="303"/>
      <c r="G32" s="303"/>
      <c r="H32" s="303"/>
      <c r="I32" s="303"/>
      <c r="J32" s="303"/>
      <c r="K32" s="303"/>
      <c r="L32" s="303"/>
    </row>
    <row r="33" spans="6:12" x14ac:dyDescent="0.2">
      <c r="F33" s="303"/>
      <c r="G33" s="303"/>
      <c r="H33" s="303"/>
      <c r="I33" s="303"/>
      <c r="J33" s="303"/>
      <c r="K33" s="303"/>
      <c r="L33" s="303"/>
    </row>
    <row r="34" spans="6:12" x14ac:dyDescent="0.2">
      <c r="F34" s="304" t="s">
        <v>427</v>
      </c>
      <c r="G34" s="304"/>
      <c r="H34" s="304"/>
      <c r="I34" s="304"/>
      <c r="J34" s="304"/>
      <c r="K34" s="304"/>
      <c r="L34" s="304"/>
    </row>
    <row r="35" spans="6:12" x14ac:dyDescent="0.2">
      <c r="F35" s="297" t="s">
        <v>428</v>
      </c>
      <c r="G35" s="297" t="s">
        <v>414</v>
      </c>
      <c r="H35" s="297" t="s">
        <v>415</v>
      </c>
      <c r="I35" s="297" t="s">
        <v>416</v>
      </c>
      <c r="J35" s="297" t="s">
        <v>417</v>
      </c>
      <c r="K35" s="297" t="s">
        <v>418</v>
      </c>
      <c r="L35" s="297" t="s">
        <v>419</v>
      </c>
    </row>
    <row r="36" spans="6:12" x14ac:dyDescent="0.2">
      <c r="F36" s="308" t="s">
        <v>429</v>
      </c>
      <c r="G36" s="309">
        <f t="shared" ref="G36:L36" ca="1" si="3">IFERROR(G26/G27,"")</f>
        <v>1.6308286675265524</v>
      </c>
      <c r="H36" s="309">
        <f t="shared" ca="1" si="3"/>
        <v>3.3511959317894737</v>
      </c>
      <c r="I36" s="309">
        <f t="shared" ca="1" si="3"/>
        <v>4.5504945336000002</v>
      </c>
      <c r="J36" s="309">
        <f t="shared" ca="1" si="3"/>
        <v>0.75544445002631588</v>
      </c>
      <c r="K36" s="309">
        <f t="shared" ca="1" si="3"/>
        <v>3.6318004990000001</v>
      </c>
      <c r="L36" s="309">
        <f t="shared" ca="1" si="3"/>
        <v>1.0183401901111111</v>
      </c>
    </row>
    <row r="37" spans="6:12" x14ac:dyDescent="0.2">
      <c r="F37" s="308" t="s">
        <v>430</v>
      </c>
      <c r="G37" s="309">
        <f t="shared" ref="G37:L37" ca="1" si="4">IFERROR(G26/G28,"")</f>
        <v>37.264880634584877</v>
      </c>
      <c r="H37" s="309">
        <f t="shared" ca="1" si="4"/>
        <v>21.224240901333335</v>
      </c>
      <c r="I37" s="309">
        <f t="shared" ca="1" si="4"/>
        <v>25.855082577272729</v>
      </c>
      <c r="J37" s="309">
        <f t="shared" ca="1" si="4"/>
        <v>5.2194343820000002</v>
      </c>
      <c r="K37" s="309">
        <f t="shared" ca="1" si="4"/>
        <v>23.499885581764708</v>
      </c>
      <c r="L37" s="309">
        <f t="shared" ca="1" si="4"/>
        <v>5.2371781205714285</v>
      </c>
    </row>
    <row r="38" spans="6:12" x14ac:dyDescent="0.2">
      <c r="F38" s="308" t="s">
        <v>431</v>
      </c>
      <c r="G38" s="309">
        <f t="shared" ref="G38:L38" ca="1" si="5">IFERROR(G26/G29,"")</f>
        <v>51.314060837904748</v>
      </c>
      <c r="H38" s="309">
        <f t="shared" ca="1" si="5"/>
        <v>25.133969488421052</v>
      </c>
      <c r="I38" s="309">
        <f t="shared" ca="1" si="5"/>
        <v>31.600656483333335</v>
      </c>
      <c r="J38" s="309">
        <f t="shared" ca="1" si="5"/>
        <v>7.1767222752500004</v>
      </c>
      <c r="K38" s="309">
        <f t="shared" ca="1" si="5"/>
        <v>33.291504574166666</v>
      </c>
      <c r="L38" s="309">
        <f t="shared" ca="1" si="5"/>
        <v>7.332049368799999</v>
      </c>
    </row>
    <row r="39" spans="6:12" x14ac:dyDescent="0.2">
      <c r="F39" s="308" t="s">
        <v>432</v>
      </c>
      <c r="G39" s="309">
        <f t="shared" ref="G39:L39" ca="1" si="6">IFERROR(G22/G30,"")</f>
        <v>71.048326611062137</v>
      </c>
      <c r="H39" s="309">
        <f t="shared" ca="1" si="6"/>
        <v>34.762172877142859</v>
      </c>
      <c r="I39" s="309">
        <f t="shared" ca="1" si="6"/>
        <v>39.152539082758622</v>
      </c>
      <c r="J39" s="309">
        <f t="shared" ca="1" si="6"/>
        <v>8.8417461075000006</v>
      </c>
      <c r="K39" s="309">
        <f t="shared" ca="1" si="6"/>
        <v>54.299722127142864</v>
      </c>
      <c r="L39" s="309">
        <f t="shared" ca="1" si="6"/>
        <v>10.386748947999999</v>
      </c>
    </row>
    <row r="40" spans="6:12" x14ac:dyDescent="0.2">
      <c r="F40" s="310"/>
      <c r="G40" s="310"/>
      <c r="H40" s="310"/>
      <c r="I40" s="310"/>
      <c r="J40" s="310"/>
      <c r="K40" s="310"/>
      <c r="L40" s="310"/>
    </row>
    <row r="41" spans="6:12" x14ac:dyDescent="0.2">
      <c r="F41" s="310"/>
      <c r="G41" s="310"/>
      <c r="H41" s="310"/>
      <c r="I41" s="310"/>
      <c r="J41" s="310"/>
      <c r="K41" s="310"/>
      <c r="L41" s="310"/>
    </row>
    <row r="42" spans="6:12" x14ac:dyDescent="0.2">
      <c r="F42" s="304" t="s">
        <v>433</v>
      </c>
      <c r="G42" s="304"/>
      <c r="H42" s="304"/>
      <c r="I42" s="304"/>
      <c r="J42" s="304"/>
      <c r="K42" s="311"/>
      <c r="L42" s="311"/>
    </row>
    <row r="43" spans="6:12" x14ac:dyDescent="0.2">
      <c r="F43" s="297" t="s">
        <v>434</v>
      </c>
      <c r="G43" s="297" t="s">
        <v>429</v>
      </c>
      <c r="H43" s="297" t="s">
        <v>430</v>
      </c>
      <c r="I43" s="297" t="s">
        <v>431</v>
      </c>
      <c r="J43" s="297" t="s">
        <v>432</v>
      </c>
      <c r="K43" s="297"/>
      <c r="L43" s="297"/>
    </row>
    <row r="44" spans="6:12" x14ac:dyDescent="0.2">
      <c r="F44" s="308" t="s">
        <v>435</v>
      </c>
      <c r="G44" s="312">
        <f ca="1">IFERROR(AVERAGE(H36:L36),"")</f>
        <v>2.6614551209053805</v>
      </c>
      <c r="H44" s="312">
        <f ca="1">IFERROR(AVERAGE(H37:L37),"")</f>
        <v>16.207164312588439</v>
      </c>
      <c r="I44" s="312">
        <f ca="1">IFERROR(AVERAGE(H38:L38),"")</f>
        <v>20.906980437994211</v>
      </c>
      <c r="J44" s="312">
        <f ca="1">IFERROR(AVERAGE(H39:L39),"")</f>
        <v>29.488585828508867</v>
      </c>
      <c r="K44" s="308"/>
      <c r="L44" s="308"/>
    </row>
    <row r="45" spans="6:12" x14ac:dyDescent="0.2">
      <c r="F45" s="308" t="s">
        <v>436</v>
      </c>
      <c r="G45" s="312">
        <f ca="1">IFERROR(MEDIAN(H36:L36),"")</f>
        <v>3.3511959317894737</v>
      </c>
      <c r="H45" s="312">
        <f ca="1">IFERROR(MEDIAN(H37:L37),"")</f>
        <v>21.224240901333335</v>
      </c>
      <c r="I45" s="312">
        <f ca="1">IFERROR(MEDIAN(H38:L38),"")</f>
        <v>25.133969488421052</v>
      </c>
      <c r="J45" s="312">
        <f ca="1">IFERROR(MEDIAN(H39:L39),"")</f>
        <v>34.762172877142859</v>
      </c>
      <c r="K45" s="308"/>
      <c r="L45" s="308"/>
    </row>
    <row r="46" spans="6:12" x14ac:dyDescent="0.2">
      <c r="F46" s="308" t="s">
        <v>437</v>
      </c>
      <c r="G46" s="312">
        <f ca="1">IFERROR(MIN(H36:L36),"")</f>
        <v>0.75544445002631588</v>
      </c>
      <c r="H46" s="312">
        <f ca="1">IFERROR(MIN(H37:L37),"")</f>
        <v>5.2194343820000002</v>
      </c>
      <c r="I46" s="312">
        <f ca="1">IFERROR(MIN(H38:L38),"")</f>
        <v>7.1767222752500004</v>
      </c>
      <c r="J46" s="312">
        <f ca="1">IFERROR(MIN(H39:L39),"")</f>
        <v>8.8417461075000006</v>
      </c>
      <c r="K46" s="308"/>
      <c r="L46" s="308"/>
    </row>
    <row r="47" spans="6:12" x14ac:dyDescent="0.2">
      <c r="F47" s="308" t="s">
        <v>438</v>
      </c>
      <c r="G47" s="312">
        <f ca="1">IFERROR(MAX(H36:L36),"")</f>
        <v>4.5504945336000002</v>
      </c>
      <c r="H47" s="312">
        <f ca="1">IFERROR(MAX(H37:L37),"")</f>
        <v>25.855082577272729</v>
      </c>
      <c r="I47" s="312">
        <f ca="1">IFERROR(MAX(H38:L38),"")</f>
        <v>33.291504574166666</v>
      </c>
      <c r="J47" s="312">
        <f ca="1">IFERROR(MAX(H39:L39),"")</f>
        <v>54.299722127142864</v>
      </c>
      <c r="K47" s="308"/>
      <c r="L47" s="308"/>
    </row>
    <row r="48" spans="6:12" x14ac:dyDescent="0.2">
      <c r="F48" s="310"/>
      <c r="G48" s="310"/>
      <c r="H48" s="310"/>
      <c r="I48" s="310"/>
      <c r="J48" s="310"/>
      <c r="K48" s="310"/>
      <c r="L48" s="310"/>
    </row>
    <row r="49" spans="6:12" x14ac:dyDescent="0.2">
      <c r="F49" s="310"/>
      <c r="G49" s="310"/>
      <c r="H49" s="310"/>
      <c r="I49" s="310"/>
      <c r="J49" s="310"/>
      <c r="K49" s="310"/>
      <c r="L49" s="310"/>
    </row>
    <row r="50" spans="6:12" x14ac:dyDescent="0.2">
      <c r="F50" s="304" t="s">
        <v>439</v>
      </c>
      <c r="G50" s="304"/>
      <c r="H50" s="304"/>
      <c r="I50" s="304"/>
      <c r="J50" s="304"/>
      <c r="K50" s="304"/>
      <c r="L50" s="311"/>
    </row>
    <row r="51" spans="6:12" ht="28" x14ac:dyDescent="0.2">
      <c r="F51" s="297" t="s">
        <v>440</v>
      </c>
      <c r="G51" s="297" t="s">
        <v>441</v>
      </c>
      <c r="H51" s="297" t="s">
        <v>442</v>
      </c>
      <c r="I51" s="297" t="s">
        <v>443</v>
      </c>
      <c r="J51" s="297" t="s">
        <v>444</v>
      </c>
      <c r="K51" s="305" t="s">
        <v>445</v>
      </c>
      <c r="L51" s="313"/>
    </row>
    <row r="52" spans="6:12" x14ac:dyDescent="0.2">
      <c r="F52" s="314" t="s">
        <v>429</v>
      </c>
      <c r="G52" s="315">
        <f>G27</f>
        <v>1944444</v>
      </c>
      <c r="H52" s="316">
        <f ca="1">G45</f>
        <v>3.3511959317894737</v>
      </c>
      <c r="I52" s="315">
        <f ca="1">G52*H52</f>
        <v>6516212.8223924516</v>
      </c>
      <c r="J52" s="315">
        <f ca="1">I52-G25+G24</f>
        <v>6522598.8223924516</v>
      </c>
      <c r="K52" s="306">
        <f ca="1">IFERROR(J52/G21,"")</f>
        <v>2466.8950619702077</v>
      </c>
      <c r="L52" s="306"/>
    </row>
    <row r="53" spans="6:12" x14ac:dyDescent="0.2">
      <c r="F53" s="314" t="s">
        <v>430</v>
      </c>
      <c r="G53" s="315">
        <f>G28</f>
        <v>85095</v>
      </c>
      <c r="H53" s="316">
        <f ca="1">H45</f>
        <v>21.224240901333335</v>
      </c>
      <c r="I53" s="315">
        <f ca="1">G53*H53</f>
        <v>1806076.7794989601</v>
      </c>
      <c r="J53" s="315">
        <f ca="1">I53-G25+G24</f>
        <v>1812462.7794989601</v>
      </c>
      <c r="K53" s="306">
        <f ca="1">IFERROR(J53/G21,"")</f>
        <v>685.48681323172161</v>
      </c>
      <c r="L53" s="306"/>
    </row>
    <row r="54" spans="6:12" x14ac:dyDescent="0.2">
      <c r="F54" s="314" t="s">
        <v>431</v>
      </c>
      <c r="G54" s="315">
        <f>G29</f>
        <v>61797</v>
      </c>
      <c r="H54" s="316">
        <f ca="1">I45</f>
        <v>25.133969488421052</v>
      </c>
      <c r="I54" s="315">
        <f ca="1">G54*H54</f>
        <v>1553203.9124759557</v>
      </c>
      <c r="J54" s="315">
        <f ca="1">I54-G25+G24</f>
        <v>1559589.9124759557</v>
      </c>
      <c r="K54" s="306">
        <f ca="1">IFERROR(J54/G21,"")</f>
        <v>589.84842676163544</v>
      </c>
      <c r="L54" s="306"/>
    </row>
    <row r="55" spans="6:12" x14ac:dyDescent="0.2">
      <c r="F55" s="314" t="s">
        <v>432</v>
      </c>
      <c r="G55" s="315">
        <f>G30</f>
        <v>44241</v>
      </c>
      <c r="H55" s="316">
        <f ca="1">J45</f>
        <v>34.762172877142859</v>
      </c>
      <c r="I55" s="307" t="s">
        <v>446</v>
      </c>
      <c r="J55" s="315">
        <f ca="1">G55*H55</f>
        <v>1537913.2902576772</v>
      </c>
      <c r="K55" s="306">
        <f ca="1">IFERROR(J55/G21,"")</f>
        <v>581.65016809717702</v>
      </c>
      <c r="L55" s="306"/>
    </row>
    <row r="56" spans="6:12" x14ac:dyDescent="0.2">
      <c r="F56" s="310"/>
      <c r="G56" s="310"/>
      <c r="H56" s="310"/>
      <c r="I56" s="310"/>
      <c r="J56" s="310"/>
      <c r="K56" s="310"/>
      <c r="L56" s="310"/>
    </row>
    <row r="57" spans="6:12" x14ac:dyDescent="0.2">
      <c r="F57" s="310"/>
      <c r="G57" s="310"/>
      <c r="H57" s="310"/>
      <c r="I57" s="310"/>
      <c r="J57" s="310"/>
      <c r="K57" s="310"/>
      <c r="L57" s="310"/>
    </row>
    <row r="58" spans="6:12" x14ac:dyDescent="0.2">
      <c r="F58" s="310"/>
      <c r="G58" s="310"/>
      <c r="H58" s="310"/>
      <c r="I58" s="310"/>
      <c r="J58" s="310"/>
      <c r="K58" s="310"/>
      <c r="L58" s="310"/>
    </row>
    <row r="59" spans="6:12" x14ac:dyDescent="0.2">
      <c r="F59" s="304" t="s">
        <v>447</v>
      </c>
      <c r="G59" s="304"/>
      <c r="H59" s="304"/>
      <c r="I59" s="304"/>
      <c r="J59" s="304"/>
      <c r="K59" s="304"/>
      <c r="L59" s="304"/>
    </row>
    <row r="60" spans="6:12" x14ac:dyDescent="0.2">
      <c r="F60" s="297" t="s">
        <v>448</v>
      </c>
      <c r="G60" s="297" t="s">
        <v>445</v>
      </c>
      <c r="H60" s="305" t="s">
        <v>449</v>
      </c>
      <c r="I60" s="313"/>
      <c r="J60" s="310"/>
      <c r="K60" s="310"/>
      <c r="L60" s="310"/>
    </row>
    <row r="61" spans="6:12" x14ac:dyDescent="0.2">
      <c r="F61" s="314" t="s">
        <v>450</v>
      </c>
      <c r="G61" s="317">
        <f>Valuation!J37</f>
        <v>1028.5767503050904</v>
      </c>
      <c r="H61" s="318" t="s">
        <v>451</v>
      </c>
      <c r="I61" s="318"/>
      <c r="J61" s="310"/>
      <c r="K61" s="310"/>
      <c r="L61" s="310"/>
    </row>
    <row r="62" spans="6:12" x14ac:dyDescent="0.2">
      <c r="F62" s="314" t="s">
        <v>429</v>
      </c>
      <c r="G62" s="319">
        <f ca="1">K52</f>
        <v>2466.8950619702077</v>
      </c>
      <c r="H62" s="318" t="s">
        <v>452</v>
      </c>
      <c r="I62" s="318"/>
      <c r="J62" s="310"/>
      <c r="K62" s="310"/>
      <c r="L62" s="310"/>
    </row>
    <row r="63" spans="6:12" x14ac:dyDescent="0.2">
      <c r="F63" s="314" t="s">
        <v>430</v>
      </c>
      <c r="G63" s="319">
        <f ca="1">K53</f>
        <v>685.48681323172161</v>
      </c>
      <c r="H63" s="318" t="s">
        <v>452</v>
      </c>
      <c r="I63" s="318"/>
      <c r="J63" s="310"/>
      <c r="K63" s="310"/>
      <c r="L63" s="310"/>
    </row>
    <row r="64" spans="6:12" x14ac:dyDescent="0.2">
      <c r="F64" s="314" t="s">
        <v>431</v>
      </c>
      <c r="G64" s="319">
        <f ca="1">K54</f>
        <v>589.84842676163544</v>
      </c>
      <c r="H64" s="318" t="s">
        <v>452</v>
      </c>
      <c r="I64" s="318"/>
      <c r="J64" s="310"/>
      <c r="K64" s="310"/>
      <c r="L64" s="310"/>
    </row>
    <row r="65" spans="6:14" x14ac:dyDescent="0.2">
      <c r="F65" s="314" t="s">
        <v>432</v>
      </c>
      <c r="G65" s="319">
        <f ca="1">K55</f>
        <v>581.65016809717702</v>
      </c>
      <c r="H65" s="318" t="s">
        <v>452</v>
      </c>
      <c r="I65" s="318"/>
      <c r="J65" s="310"/>
      <c r="K65" s="310"/>
      <c r="L65" s="310"/>
    </row>
    <row r="69" spans="6:14" x14ac:dyDescent="0.2">
      <c r="F69" s="283"/>
      <c r="G69" s="244"/>
      <c r="H69" s="244"/>
      <c r="I69" s="244"/>
      <c r="J69" s="244"/>
      <c r="K69" s="244"/>
      <c r="L69" s="244"/>
      <c r="M69" s="283"/>
      <c r="N69" s="244"/>
    </row>
    <row r="70" spans="6:14" x14ac:dyDescent="0.2">
      <c r="F70" s="283"/>
      <c r="G70" s="244"/>
      <c r="H70" s="244"/>
      <c r="I70" s="244"/>
      <c r="J70" s="244"/>
      <c r="K70" s="244"/>
      <c r="L70" s="244"/>
    </row>
    <row r="71" spans="6:14" x14ac:dyDescent="0.2">
      <c r="F71" s="283"/>
      <c r="G71" s="244"/>
      <c r="H71" s="244"/>
      <c r="I71" s="244"/>
      <c r="J71" s="244"/>
      <c r="K71" s="244"/>
      <c r="L71" s="244"/>
    </row>
    <row r="72" spans="6:14" x14ac:dyDescent="0.2">
      <c r="F72" s="283"/>
      <c r="G72" s="244"/>
      <c r="H72" s="244"/>
      <c r="I72" s="244"/>
      <c r="J72" s="244"/>
      <c r="K72" s="244"/>
      <c r="L72" s="244"/>
    </row>
    <row r="73" spans="6:14" x14ac:dyDescent="0.2">
      <c r="F73" s="283"/>
      <c r="G73" s="244"/>
      <c r="H73" s="244"/>
      <c r="I73" s="244"/>
      <c r="J73" s="244"/>
      <c r="K73" s="244"/>
      <c r="L73" s="244"/>
    </row>
    <row r="74" spans="6:14" x14ac:dyDescent="0.2">
      <c r="F74" s="283"/>
      <c r="G74" s="244"/>
      <c r="H74" s="244"/>
      <c r="I74" s="244"/>
      <c r="J74" s="244"/>
      <c r="K74" s="244"/>
      <c r="L74" s="244"/>
    </row>
    <row r="75" spans="6:14" x14ac:dyDescent="0.2">
      <c r="F75" s="283"/>
      <c r="G75" s="244"/>
      <c r="H75" s="244"/>
      <c r="I75" s="244"/>
      <c r="J75" s="244"/>
      <c r="K75" s="244"/>
      <c r="L75" s="244"/>
    </row>
  </sheetData>
  <mergeCells count="35">
    <mergeCell ref="F34:L34"/>
    <mergeCell ref="F75:L75"/>
    <mergeCell ref="F70:L70"/>
    <mergeCell ref="F71:L71"/>
    <mergeCell ref="F72:L72"/>
    <mergeCell ref="F73:L73"/>
    <mergeCell ref="F74:L74"/>
    <mergeCell ref="F69:L69"/>
    <mergeCell ref="M69:N69"/>
    <mergeCell ref="K51:L51"/>
    <mergeCell ref="H60:I60"/>
    <mergeCell ref="H61:I61"/>
    <mergeCell ref="H62:I62"/>
    <mergeCell ref="H63:I63"/>
    <mergeCell ref="H64:I64"/>
    <mergeCell ref="H65:I65"/>
    <mergeCell ref="H10:N10"/>
    <mergeCell ref="F18:L18"/>
    <mergeCell ref="H11:N11"/>
    <mergeCell ref="H12:N12"/>
    <mergeCell ref="H13:N13"/>
    <mergeCell ref="H14:N14"/>
    <mergeCell ref="G15:N16"/>
    <mergeCell ref="F2:N2"/>
    <mergeCell ref="F3:N3"/>
    <mergeCell ref="F7:N7"/>
    <mergeCell ref="H8:N8"/>
    <mergeCell ref="H9:N9"/>
    <mergeCell ref="F59:L59"/>
    <mergeCell ref="F42:J42"/>
    <mergeCell ref="F50:K50"/>
    <mergeCell ref="K52:L52"/>
    <mergeCell ref="K53:L53"/>
    <mergeCell ref="K54:L54"/>
    <mergeCell ref="K55:L5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DA426-5A65-D34A-B949-6CCDBC9A1357}">
  <dimension ref="B1:S35"/>
  <sheetViews>
    <sheetView showGridLines="0" zoomScale="75" workbookViewId="0">
      <pane xSplit="2" ySplit="7" topLeftCell="C8" activePane="bottomRight" state="frozen"/>
      <selection pane="topRight" activeCell="B1" sqref="B1"/>
      <selection pane="bottomLeft" activeCell="A8" sqref="A8"/>
      <selection pane="bottomRight" activeCell="C5" sqref="C5:G5"/>
    </sheetView>
  </sheetViews>
  <sheetFormatPr baseColWidth="10" defaultRowHeight="40" customHeight="1" x14ac:dyDescent="0.2"/>
  <cols>
    <col min="2" max="2" width="29.33203125" customWidth="1"/>
    <col min="19" max="19" width="113.6640625" style="347" customWidth="1"/>
  </cols>
  <sheetData>
    <row r="1" spans="2:19" ht="127" customHeight="1" x14ac:dyDescent="0.2">
      <c r="B1" s="287" t="s">
        <v>105</v>
      </c>
      <c r="C1" s="287"/>
      <c r="D1" s="287"/>
      <c r="E1" s="287"/>
      <c r="F1" s="287"/>
      <c r="G1" s="287"/>
      <c r="H1" s="287"/>
      <c r="I1" s="287"/>
      <c r="J1" s="287"/>
      <c r="K1" s="287"/>
      <c r="L1" s="287"/>
      <c r="M1" s="287"/>
      <c r="N1" s="287"/>
      <c r="O1" s="287"/>
      <c r="P1" s="287"/>
      <c r="Q1" s="287"/>
      <c r="R1" s="287"/>
      <c r="S1" s="287"/>
    </row>
    <row r="2" spans="2:19" ht="40" customHeight="1" x14ac:dyDescent="0.3">
      <c r="B2" s="288" t="s">
        <v>454</v>
      </c>
      <c r="C2" s="288"/>
      <c r="D2" s="288"/>
      <c r="E2" s="288"/>
      <c r="F2" s="288"/>
      <c r="G2" s="288"/>
      <c r="H2" s="288"/>
      <c r="I2" s="288"/>
      <c r="J2" s="288"/>
      <c r="K2" s="288"/>
      <c r="L2" s="288"/>
      <c r="M2" s="288"/>
      <c r="N2" s="288"/>
      <c r="O2" s="288"/>
      <c r="P2" s="288"/>
      <c r="Q2" s="288"/>
      <c r="R2" s="288"/>
      <c r="S2" s="288"/>
    </row>
    <row r="3" spans="2:19" ht="40" customHeight="1" x14ac:dyDescent="0.2">
      <c r="B3" s="221"/>
      <c r="C3" s="221"/>
      <c r="D3" s="221"/>
      <c r="E3" s="221"/>
      <c r="F3" s="221"/>
      <c r="G3" s="221"/>
      <c r="H3" s="221"/>
      <c r="I3" s="221"/>
      <c r="J3" s="221"/>
      <c r="K3" s="221"/>
      <c r="L3" s="221"/>
      <c r="M3" s="221"/>
      <c r="N3" s="221"/>
      <c r="O3" s="221"/>
      <c r="P3" s="221"/>
      <c r="Q3" s="221"/>
      <c r="R3" s="221"/>
      <c r="S3" s="344"/>
    </row>
    <row r="4" spans="2:19" ht="40" customHeight="1" x14ac:dyDescent="0.2">
      <c r="B4" s="289" t="s">
        <v>455</v>
      </c>
      <c r="C4" s="289"/>
      <c r="D4" s="289"/>
      <c r="E4" s="289"/>
      <c r="F4" s="289"/>
      <c r="G4" s="289"/>
      <c r="H4" s="289"/>
      <c r="I4" s="289"/>
      <c r="J4" s="289"/>
      <c r="K4" s="289"/>
      <c r="L4" s="289"/>
      <c r="M4" s="289"/>
      <c r="N4" s="289"/>
      <c r="O4" s="289"/>
      <c r="P4" s="289"/>
      <c r="Q4" s="289"/>
      <c r="R4" s="289"/>
      <c r="S4" s="289"/>
    </row>
    <row r="5" spans="2:19" ht="40" customHeight="1" x14ac:dyDescent="0.2">
      <c r="B5" s="221"/>
      <c r="C5" s="349" t="s">
        <v>456</v>
      </c>
      <c r="D5" s="349"/>
      <c r="E5" s="349"/>
      <c r="F5" s="349"/>
      <c r="G5" s="349"/>
      <c r="H5" s="350" t="s">
        <v>457</v>
      </c>
      <c r="I5" s="350"/>
      <c r="J5" s="350"/>
      <c r="K5" s="350"/>
      <c r="L5" s="350"/>
      <c r="M5" s="350"/>
      <c r="N5" s="350"/>
      <c r="O5" s="350"/>
      <c r="P5" s="350"/>
      <c r="Q5" s="350"/>
      <c r="R5" s="348" t="s">
        <v>458</v>
      </c>
      <c r="S5" s="348"/>
    </row>
    <row r="6" spans="2:19" ht="40" customHeight="1" x14ac:dyDescent="0.2">
      <c r="B6" s="222" t="s">
        <v>459</v>
      </c>
      <c r="C6" s="222" t="s">
        <v>460</v>
      </c>
      <c r="D6" s="222" t="s">
        <v>461</v>
      </c>
      <c r="E6" s="222" t="s">
        <v>462</v>
      </c>
      <c r="F6" s="222" t="s">
        <v>463</v>
      </c>
      <c r="G6" s="222" t="s">
        <v>392</v>
      </c>
      <c r="H6" s="222" t="s">
        <v>464</v>
      </c>
      <c r="I6" s="222" t="s">
        <v>465</v>
      </c>
      <c r="J6" s="222" t="s">
        <v>466</v>
      </c>
      <c r="K6" s="222" t="s">
        <v>467</v>
      </c>
      <c r="L6" s="222" t="s">
        <v>468</v>
      </c>
      <c r="M6" s="222" t="s">
        <v>469</v>
      </c>
      <c r="N6" s="222" t="s">
        <v>470</v>
      </c>
      <c r="O6" s="222" t="s">
        <v>471</v>
      </c>
      <c r="P6" s="222" t="s">
        <v>472</v>
      </c>
      <c r="Q6" s="222" t="s">
        <v>473</v>
      </c>
      <c r="R6" s="222" t="s">
        <v>280</v>
      </c>
      <c r="S6" s="345" t="s">
        <v>474</v>
      </c>
    </row>
    <row r="7" spans="2:19" ht="40" customHeight="1" x14ac:dyDescent="0.2">
      <c r="B7" s="285" t="s">
        <v>475</v>
      </c>
      <c r="C7" s="285"/>
      <c r="D7" s="285"/>
      <c r="E7" s="285"/>
      <c r="F7" s="285"/>
      <c r="G7" s="285"/>
      <c r="H7" s="285"/>
      <c r="I7" s="285"/>
      <c r="J7" s="285"/>
      <c r="K7" s="285"/>
      <c r="L7" s="285"/>
      <c r="M7" s="285"/>
      <c r="N7" s="285"/>
      <c r="O7" s="285"/>
      <c r="P7" s="285"/>
      <c r="Q7" s="285"/>
      <c r="R7" s="285"/>
      <c r="S7" s="285"/>
    </row>
    <row r="8" spans="2:19" ht="40" customHeight="1" x14ac:dyDescent="0.2">
      <c r="B8" s="227" t="s">
        <v>476</v>
      </c>
      <c r="C8" s="228">
        <f>'Working '!H18</f>
        <v>0</v>
      </c>
      <c r="D8" s="228">
        <f>'Working '!I18</f>
        <v>0.28845761141043957</v>
      </c>
      <c r="E8" s="228">
        <f>'Working '!J18</f>
        <v>0.26875887692091993</v>
      </c>
      <c r="F8" s="228">
        <f>'Working '!K18</f>
        <v>0.10380341467135179</v>
      </c>
      <c r="G8" s="228">
        <f>'Working '!L18</f>
        <v>5.5986741771960391E-2</v>
      </c>
      <c r="H8" s="228">
        <f>'Working '!M18</f>
        <v>7.0000000000000007E-2</v>
      </c>
      <c r="I8" s="228">
        <f>'Working '!N18</f>
        <v>7.0000000000000007E-2</v>
      </c>
      <c r="J8" s="228">
        <f>'Working '!O18</f>
        <v>6.5000000000000002E-2</v>
      </c>
      <c r="K8" s="228">
        <f>'Working '!P18</f>
        <v>6.5000000000000002E-2</v>
      </c>
      <c r="L8" s="228">
        <f>'Working '!Q18</f>
        <v>0.06</v>
      </c>
      <c r="M8" s="228">
        <f>'Working '!R18</f>
        <v>0.06</v>
      </c>
      <c r="N8" s="228">
        <f>'Working '!S18</f>
        <v>5.5E-2</v>
      </c>
      <c r="O8" s="228">
        <f>'Working '!T18</f>
        <v>5.5E-2</v>
      </c>
      <c r="P8" s="228">
        <f>'Working '!U18</f>
        <v>0.05</v>
      </c>
      <c r="Q8" s="228">
        <f>'Working '!V18</f>
        <v>0.05</v>
      </c>
      <c r="R8" s="229" t="s">
        <v>120</v>
      </c>
      <c r="S8" s="346" t="s">
        <v>501</v>
      </c>
    </row>
    <row r="9" spans="2:19" ht="40" customHeight="1" x14ac:dyDescent="0.2">
      <c r="B9" s="227" t="s">
        <v>477</v>
      </c>
      <c r="C9" s="228">
        <f>'Working '!H57</f>
        <v>0</v>
      </c>
      <c r="D9" s="228">
        <f>'Working '!I57</f>
        <v>0.71286755169893179</v>
      </c>
      <c r="E9" s="228">
        <f>'Working '!J57</f>
        <v>-0.12922454261367544</v>
      </c>
      <c r="F9" s="228">
        <f>'Working '!K57</f>
        <v>0.21720365510481554</v>
      </c>
      <c r="G9" s="228">
        <f>'Working '!L57</f>
        <v>0.10523034561583522</v>
      </c>
      <c r="H9" s="228">
        <f>'Working '!M57</f>
        <v>2.3648885885440452E-2</v>
      </c>
      <c r="I9" s="228">
        <f>'Working '!N57</f>
        <v>0.18793777879351969</v>
      </c>
      <c r="J9" s="228">
        <f>'Working '!O57</f>
        <v>0.47970273465112045</v>
      </c>
      <c r="K9" s="228">
        <f>'Working '!P57</f>
        <v>0.31761073490498926</v>
      </c>
      <c r="L9" s="228">
        <f>'Working '!Q57</f>
        <v>0.25776987426687015</v>
      </c>
      <c r="M9" s="228">
        <f>'Working '!R57</f>
        <v>0.22223929200771186</v>
      </c>
      <c r="N9" s="228">
        <f>'Working '!S57</f>
        <v>0.14079101007996009</v>
      </c>
      <c r="O9" s="228">
        <f>'Working '!T57</f>
        <v>0.13291301807371392</v>
      </c>
      <c r="P9" s="228">
        <f>'Working '!U57</f>
        <v>0.12091985263870564</v>
      </c>
      <c r="Q9" s="228">
        <f>'Working '!V57</f>
        <v>0.11525151877669737</v>
      </c>
      <c r="R9" s="229" t="s">
        <v>120</v>
      </c>
      <c r="S9" s="346" t="s">
        <v>502</v>
      </c>
    </row>
    <row r="10" spans="2:19" ht="40" customHeight="1" x14ac:dyDescent="0.2">
      <c r="B10" s="227" t="s">
        <v>478</v>
      </c>
      <c r="C10" s="228">
        <f>'Working '!H55</f>
        <v>0</v>
      </c>
      <c r="D10" s="228">
        <f>'Working '!I55</f>
        <v>1.651082882132445</v>
      </c>
      <c r="E10" s="228">
        <f>'Working '!J55</f>
        <v>-0.17137975727583366</v>
      </c>
      <c r="F10" s="228">
        <f>'Working '!K55</f>
        <v>0.32250266619267687</v>
      </c>
      <c r="G10" s="228">
        <f>'Working '!L55</f>
        <v>0.1074135799150584</v>
      </c>
      <c r="H10" s="228">
        <f>'Working '!M55</f>
        <v>-9.7918138973664082E-2</v>
      </c>
      <c r="I10" s="228">
        <f>'Working '!N55</f>
        <v>0.25428698393498128</v>
      </c>
      <c r="J10" s="228">
        <f>'Working '!O55</f>
        <v>0.678727234714257</v>
      </c>
      <c r="K10" s="228">
        <f>'Working '!P55</f>
        <v>0.39452217024090142</v>
      </c>
      <c r="L10" s="228">
        <f>'Working '!Q55</f>
        <v>0.3037556414345608</v>
      </c>
      <c r="M10" s="228">
        <f>'Working '!R55</f>
        <v>0.25291036755481389</v>
      </c>
      <c r="N10" s="228">
        <f>'Working '!S55</f>
        <v>0.1545124790146355</v>
      </c>
      <c r="O10" s="228">
        <f>'Working '!T55</f>
        <v>0.14430036839175675</v>
      </c>
      <c r="P10" s="228">
        <f>'Working '!U55</f>
        <v>0.13047622140312587</v>
      </c>
      <c r="Q10" s="228">
        <f>'Working '!V55</f>
        <v>0.12341816171002407</v>
      </c>
      <c r="R10" s="229" t="s">
        <v>120</v>
      </c>
      <c r="S10" s="346" t="s">
        <v>503</v>
      </c>
    </row>
    <row r="11" spans="2:19" ht="40" customHeight="1" x14ac:dyDescent="0.2">
      <c r="B11" s="227" t="s">
        <v>479</v>
      </c>
      <c r="C11" s="228">
        <f>'Working '!H53</f>
        <v>0</v>
      </c>
      <c r="D11" s="228">
        <f>'Working '!I53</f>
        <v>2.2160238952824387</v>
      </c>
      <c r="E11" s="228">
        <f>'Working '!J53</f>
        <v>-0.16772290209790208</v>
      </c>
      <c r="F11" s="228">
        <f>'Working '!K53</f>
        <v>0.34849678351056856</v>
      </c>
      <c r="G11" s="228">
        <f>'Working '!L53</f>
        <v>7.6790147495497285E-2</v>
      </c>
      <c r="H11" s="228">
        <f>'Working '!M53</f>
        <v>-0.14864038370648214</v>
      </c>
      <c r="I11" s="228">
        <f>'Working '!N53</f>
        <v>0.2609273145224551</v>
      </c>
      <c r="J11" s="228">
        <f>'Working '!O53</f>
        <v>0.69749290838391409</v>
      </c>
      <c r="K11" s="228">
        <f>'Working '!P53</f>
        <v>0.40084359600651398</v>
      </c>
      <c r="L11" s="228">
        <f>'Working '!Q53</f>
        <v>0.30731068590257271</v>
      </c>
      <c r="M11" s="228">
        <f>'Working '!R53</f>
        <v>0.25519161809368285</v>
      </c>
      <c r="N11" s="228">
        <f>'Working '!S53</f>
        <v>0.15550626025897607</v>
      </c>
      <c r="O11" s="228">
        <f>'Working '!T53</f>
        <v>0.14511459756371203</v>
      </c>
      <c r="P11" s="228">
        <f>'Working '!U53</f>
        <v>0.13115224910575196</v>
      </c>
      <c r="Q11" s="228">
        <f>'Working '!V53</f>
        <v>0.12399065270281184</v>
      </c>
      <c r="R11" s="229" t="s">
        <v>120</v>
      </c>
      <c r="S11" s="346" t="s">
        <v>504</v>
      </c>
    </row>
    <row r="12" spans="2:19" ht="40" customHeight="1" x14ac:dyDescent="0.2">
      <c r="B12" s="286" t="s">
        <v>480</v>
      </c>
      <c r="C12" s="286"/>
      <c r="D12" s="286"/>
      <c r="E12" s="286"/>
      <c r="F12" s="286"/>
      <c r="G12" s="286"/>
      <c r="H12" s="286"/>
      <c r="I12" s="286"/>
      <c r="J12" s="286"/>
      <c r="K12" s="286"/>
      <c r="L12" s="286"/>
      <c r="M12" s="286"/>
      <c r="N12" s="286"/>
      <c r="O12" s="286"/>
      <c r="P12" s="286"/>
      <c r="Q12" s="286"/>
      <c r="R12" s="286"/>
      <c r="S12" s="286"/>
    </row>
    <row r="13" spans="2:19" ht="40" customHeight="1" x14ac:dyDescent="0.2">
      <c r="B13" s="227" t="s">
        <v>481</v>
      </c>
      <c r="C13" s="228">
        <f>FS!D21/FS!D10</f>
        <v>1.725574711240024E-2</v>
      </c>
      <c r="D13" s="228">
        <f>FS!E21/FS!E10</f>
        <v>3.7589394931163908E-2</v>
      </c>
      <c r="E13" s="228">
        <f>FS!F21/FS!F10</f>
        <v>2.6971016471343406E-2</v>
      </c>
      <c r="F13" s="228">
        <f>FS!G21/FS!G10</f>
        <v>2.986679325669651E-2</v>
      </c>
      <c r="G13" s="228">
        <f>FS!H21/FS!H10</f>
        <v>3.2444750273085778E-2</v>
      </c>
      <c r="H13" s="228">
        <f>FS!I21/FS!I10</f>
        <v>2.5826934607072066E-2</v>
      </c>
      <c r="I13" s="228">
        <f>FS!J21/FS!J10</f>
        <v>3.0435408688263957E-2</v>
      </c>
      <c r="J13" s="228">
        <f>FS!K21/FS!K10</f>
        <v>4.8510695222623697E-2</v>
      </c>
      <c r="K13" s="228">
        <f>FS!L21/FS!L10</f>
        <v>6.3808353746888424E-2</v>
      </c>
      <c r="L13" s="228">
        <f>FS!M21/FS!M10</f>
        <v>7.8695606323734624E-2</v>
      </c>
      <c r="M13" s="228">
        <f>FS!N21/FS!N10</f>
        <v>9.318685418712444E-2</v>
      </c>
      <c r="N13" s="228">
        <f>FS!O21/FS!O10</f>
        <v>0.10206444870811628</v>
      </c>
      <c r="O13" s="228">
        <f>FS!P21/FS!P10</f>
        <v>0.11078245507863196</v>
      </c>
      <c r="P13" s="228">
        <f>FS!Q21/FS!Q10</f>
        <v>0.11934459354633473</v>
      </c>
      <c r="Q13" s="228">
        <f>FS!R21/FS!R10</f>
        <v>0.12775448342542528</v>
      </c>
      <c r="R13" s="225" t="s">
        <v>120</v>
      </c>
      <c r="S13" s="346" t="s">
        <v>505</v>
      </c>
    </row>
    <row r="14" spans="2:19" ht="40" customHeight="1" x14ac:dyDescent="0.2">
      <c r="B14" s="227" t="s">
        <v>482</v>
      </c>
      <c r="C14" s="228">
        <f>'Working '!H56/'Working '!H21</f>
        <v>4.1431182658086499E-2</v>
      </c>
      <c r="D14" s="228">
        <f>'Working '!I56/'Working '!I21</f>
        <v>5.522472367111636E-2</v>
      </c>
      <c r="E14" s="228">
        <f>'Working '!J56/'Working '!J21</f>
        <v>3.7875467350717222E-2</v>
      </c>
      <c r="F14" s="228">
        <f>'Working '!K56/'Working '!K21</f>
        <v>4.1723228457612123E-2</v>
      </c>
      <c r="G14" s="228">
        <f>'Working '!L56/'Working '!L21</f>
        <v>4.3763152860149222E-2</v>
      </c>
      <c r="H14" s="228">
        <f>'Working '!M56/'Working '!M21</f>
        <v>4.181075239265291E-2</v>
      </c>
      <c r="I14" s="228">
        <f>'Working '!N56/'Working '!N21</f>
        <v>4.6419226473844798E-2</v>
      </c>
      <c r="J14" s="228">
        <f>'Working '!O56/'Working '!O21</f>
        <v>6.4494513008204538E-2</v>
      </c>
      <c r="K14" s="228">
        <f>'Working '!P56/'Working '!P21</f>
        <v>7.9792171532469258E-2</v>
      </c>
      <c r="L14" s="228">
        <f>'Working '!Q56/'Working '!Q21</f>
        <v>9.4679424109315458E-2</v>
      </c>
      <c r="M14" s="228">
        <f>'Working '!R56/'Working '!R21</f>
        <v>0.10917067197270527</v>
      </c>
      <c r="N14" s="228">
        <f>'Working '!S56/'Working '!S21</f>
        <v>0.11804826649369712</v>
      </c>
      <c r="O14" s="228">
        <f>'Working '!T56/'Working '!T21</f>
        <v>0.1267662728642128</v>
      </c>
      <c r="P14" s="228">
        <f>'Working '!U56/'Working '!U21</f>
        <v>0.13532841133191556</v>
      </c>
      <c r="Q14" s="228">
        <f>'Working '!V56/'Working '!V21</f>
        <v>0.14373830121100614</v>
      </c>
      <c r="R14" s="225" t="s">
        <v>120</v>
      </c>
      <c r="S14" s="346" t="s">
        <v>506</v>
      </c>
    </row>
    <row r="15" spans="2:19" ht="40" customHeight="1" x14ac:dyDescent="0.2">
      <c r="B15" s="227" t="s">
        <v>483</v>
      </c>
      <c r="C15" s="228">
        <f>'Working '!H54/'Working '!H21</f>
        <v>1.8765124301363519E-2</v>
      </c>
      <c r="D15" s="228">
        <f>'Working '!I54/'Working '!I21</f>
        <v>3.8713032292790397E-2</v>
      </c>
      <c r="E15" s="228">
        <f>'Working '!J54/'Working '!J21</f>
        <v>2.5265680350072931E-2</v>
      </c>
      <c r="F15" s="228">
        <f>'Working '!K54/'Working '!K21</f>
        <v>3.0240168815608291E-2</v>
      </c>
      <c r="G15" s="228">
        <f>'Working '!L54/'Working '!L21</f>
        <v>3.1781321550016353E-2</v>
      </c>
      <c r="H15" s="228">
        <f>'Working '!M54/'Working '!M21</f>
        <v>2.6757545007167028E-2</v>
      </c>
      <c r="I15" s="228">
        <f>'Working '!N54/'Working '!N21</f>
        <v>3.1366019088358919E-2</v>
      </c>
      <c r="J15" s="228">
        <f>'Working '!O54/'Working '!O21</f>
        <v>4.9441305622718659E-2</v>
      </c>
      <c r="K15" s="228">
        <f>'Working '!P54/'Working '!P21</f>
        <v>6.473896414698338E-2</v>
      </c>
      <c r="L15" s="228">
        <f>'Working '!Q54/'Working '!Q21</f>
        <v>7.9626216723829579E-2</v>
      </c>
      <c r="M15" s="228">
        <f>'Working '!R54/'Working '!R21</f>
        <v>9.4117464587219396E-2</v>
      </c>
      <c r="N15" s="228">
        <f>'Working '!S54/'Working '!S21</f>
        <v>0.10299505910821123</v>
      </c>
      <c r="O15" s="228">
        <f>'Working '!T54/'Working '!T21</f>
        <v>0.11171306547872692</v>
      </c>
      <c r="P15" s="228">
        <f>'Working '!U54/'Working '!U21</f>
        <v>0.12027520394642968</v>
      </c>
      <c r="Q15" s="228">
        <f>'Working '!V54/'Working '!V21</f>
        <v>0.12868509382552026</v>
      </c>
      <c r="R15" s="225" t="s">
        <v>120</v>
      </c>
      <c r="S15" s="346" t="s">
        <v>507</v>
      </c>
    </row>
    <row r="16" spans="2:19" ht="40" customHeight="1" x14ac:dyDescent="0.2">
      <c r="B16" s="227" t="s">
        <v>484</v>
      </c>
      <c r="C16" s="228">
        <f>'Working '!H52/'Working '!H21</f>
        <v>1.1120544040109379E-2</v>
      </c>
      <c r="D16" s="228">
        <f>'Working '!I52/'Working '!I21</f>
        <v>2.7830931349406365E-2</v>
      </c>
      <c r="E16" s="228">
        <f>'Working '!J52/'Working '!J21</f>
        <v>1.824374330859159E-2</v>
      </c>
      <c r="F16" s="228">
        <f>'Working '!K52/'Working '!K21</f>
        <v>2.2264888553627623E-2</v>
      </c>
      <c r="G16" s="228">
        <f>'Working '!L52/'Working '!L21</f>
        <v>2.2752519486290167E-2</v>
      </c>
      <c r="H16" s="228">
        <f>'Working '!M52/'Working '!M21</f>
        <v>1.8078854224950446E-2</v>
      </c>
      <c r="I16" s="228">
        <f>'Working '!N52/'Working '!N21</f>
        <v>2.1304786081784769E-2</v>
      </c>
      <c r="J16" s="228">
        <f>'Working '!O52/'Working '!O21</f>
        <v>3.3957486655836581E-2</v>
      </c>
      <c r="K16" s="228">
        <f>'Working '!P52/'Working '!P21</f>
        <v>4.46658476228219E-2</v>
      </c>
      <c r="L16" s="228">
        <f>'Working '!Q52/'Working '!Q21</f>
        <v>5.5086924426614239E-2</v>
      </c>
      <c r="M16" s="228">
        <f>'Working '!R52/'Working '!R21</f>
        <v>6.52307979309871E-2</v>
      </c>
      <c r="N16" s="228">
        <f>'Working '!S52/'Working '!S21</f>
        <v>7.1445114095681397E-2</v>
      </c>
      <c r="O16" s="228">
        <f>'Working '!T52/'Working '!T21</f>
        <v>7.7547718555042375E-2</v>
      </c>
      <c r="P16" s="228">
        <f>'Working '!U52/'Working '!U21</f>
        <v>8.3541215482434303E-2</v>
      </c>
      <c r="Q16" s="228">
        <f>'Working '!V52/'Working '!V21</f>
        <v>8.9428138397797688E-2</v>
      </c>
      <c r="R16" s="225" t="s">
        <v>120</v>
      </c>
      <c r="S16" s="346" t="s">
        <v>517</v>
      </c>
    </row>
    <row r="17" spans="2:19" ht="40" customHeight="1" x14ac:dyDescent="0.2">
      <c r="B17" s="286" t="s">
        <v>485</v>
      </c>
      <c r="C17" s="286"/>
      <c r="D17" s="286"/>
      <c r="E17" s="286"/>
      <c r="F17" s="286"/>
      <c r="G17" s="286"/>
      <c r="H17" s="286"/>
      <c r="I17" s="286"/>
      <c r="J17" s="286"/>
      <c r="K17" s="286"/>
      <c r="L17" s="286"/>
      <c r="M17" s="286"/>
      <c r="N17" s="286"/>
      <c r="O17" s="286"/>
      <c r="P17" s="286"/>
      <c r="Q17" s="286"/>
      <c r="R17" s="286"/>
      <c r="S17" s="286"/>
    </row>
    <row r="18" spans="2:19" ht="40" customHeight="1" x14ac:dyDescent="0.2">
      <c r="B18" s="227" t="s">
        <v>486</v>
      </c>
      <c r="C18" s="228">
        <f>FS!D35/FS!D64</f>
        <v>1.5236928257412776</v>
      </c>
      <c r="D18" s="228">
        <f>FS!E35/FS!E64</f>
        <v>1.6843933738814247</v>
      </c>
      <c r="E18" s="228">
        <f>FS!F35/FS!F64</f>
        <v>1.5873473079658917</v>
      </c>
      <c r="F18" s="228">
        <f>FS!G35/FS!G64</f>
        <v>1.5280139124041667</v>
      </c>
      <c r="G18" s="228">
        <f>FS!H35/FS!H64</f>
        <v>1.4124229119140579</v>
      </c>
      <c r="H18" s="228">
        <f>FS!I35/FS!I64</f>
        <v>1.5218901178291224</v>
      </c>
      <c r="I18" s="228">
        <f>FS!J35/FS!J64</f>
        <v>1.5652628720628579</v>
      </c>
      <c r="J18" s="228">
        <f>FS!K35/FS!K64</f>
        <v>1.6386944108419461</v>
      </c>
      <c r="K18" s="228">
        <f>FS!L35/FS!L64</f>
        <v>1.7442936735950385</v>
      </c>
      <c r="L18" s="228">
        <f>FS!M35/FS!M64</f>
        <v>1.8897143400502945</v>
      </c>
      <c r="M18" s="228">
        <f>FS!N35/FS!N64</f>
        <v>2.0745367129645325</v>
      </c>
      <c r="N18" s="228">
        <f>FS!O35/FS!O64</f>
        <v>2.2778759244724935</v>
      </c>
      <c r="O18" s="228">
        <f>FS!P35/FS!P64</f>
        <v>2.494402498695576</v>
      </c>
      <c r="P18" s="228">
        <f>FS!Q35/FS!Q64</f>
        <v>2.7330437043928804</v>
      </c>
      <c r="Q18" s="228">
        <f>FS!R35/FS!R64</f>
        <v>2.9886458068330803</v>
      </c>
      <c r="R18" s="225" t="s">
        <v>151</v>
      </c>
      <c r="S18" s="346" t="s">
        <v>508</v>
      </c>
    </row>
    <row r="19" spans="2:19" ht="40" customHeight="1" x14ac:dyDescent="0.2">
      <c r="B19" s="227" t="s">
        <v>487</v>
      </c>
      <c r="C19" s="228">
        <f>(FS!D35-FS!D32)/FS!D64</f>
        <v>0.99208680198297639</v>
      </c>
      <c r="D19" s="228">
        <f>(FS!E35-FS!E32)/FS!E64</f>
        <v>1.2104719412947367</v>
      </c>
      <c r="E19" s="228">
        <f>(FS!F35-FS!F32)/FS!F64</f>
        <v>0.96041642882860734</v>
      </c>
      <c r="F19" s="228">
        <f>(FS!G35-FS!G32)/FS!G64</f>
        <v>1.0442114713710575</v>
      </c>
      <c r="G19" s="228">
        <f>(FS!H35-FS!H32)/FS!H64</f>
        <v>0.98513617463342684</v>
      </c>
      <c r="H19" s="228">
        <f>(FS!I35-FS!I32)/FS!I64</f>
        <v>1.0161810647284319</v>
      </c>
      <c r="I19" s="228">
        <f>(FS!J35-FS!J32)/FS!J64</f>
        <v>1.0553954275276367</v>
      </c>
      <c r="J19" s="228">
        <f>(FS!K35-FS!K32)/FS!K64</f>
        <v>1.1394628750376534</v>
      </c>
      <c r="K19" s="228">
        <f>(FS!L35-FS!L32)/FS!L64</f>
        <v>1.2508157932711841</v>
      </c>
      <c r="L19" s="228">
        <f>(FS!M35-FS!M32)/FS!M64</f>
        <v>1.4006447780829121</v>
      </c>
      <c r="M19" s="228">
        <f>(FS!N35-FS!N32)/FS!N64</f>
        <v>1.5871819058393559</v>
      </c>
      <c r="N19" s="228">
        <f>(FS!O35-FS!O32)/FS!O64</f>
        <v>1.7841828877803567</v>
      </c>
      <c r="O19" s="228">
        <f>(FS!P35-FS!P32)/FS!P64</f>
        <v>1.992568120759179</v>
      </c>
      <c r="P19" s="228">
        <f>(FS!Q35-FS!Q32)/FS!Q64</f>
        <v>2.2245457420255033</v>
      </c>
      <c r="Q19" s="228">
        <f>(FS!R35-FS!R32)/FS!R64</f>
        <v>2.4730612340276585</v>
      </c>
      <c r="R19" s="225" t="s">
        <v>151</v>
      </c>
      <c r="S19" s="346" t="s">
        <v>509</v>
      </c>
    </row>
    <row r="20" spans="2:19" ht="40" customHeight="1" x14ac:dyDescent="0.2">
      <c r="B20" s="227" t="s">
        <v>488</v>
      </c>
      <c r="C20" s="228">
        <f>FS!D29/FS!D64</f>
        <v>0.19146946029370498</v>
      </c>
      <c r="D20" s="228">
        <f>FS!E29/FS!E64</f>
        <v>0.4368457568836378</v>
      </c>
      <c r="E20" s="228">
        <f>FS!F29/FS!F64</f>
        <v>0.14483679186462112</v>
      </c>
      <c r="F20" s="228">
        <f>FS!G29/FS!G64</f>
        <v>4.5650076171826676E-2</v>
      </c>
      <c r="G20" s="228">
        <f>FS!H29/FS!H64</f>
        <v>9.0383054763270521E-2</v>
      </c>
      <c r="H20" s="228">
        <f>FS!I29/FS!I64</f>
        <v>0.17154275257366952</v>
      </c>
      <c r="I20" s="228">
        <f>FS!J29/FS!J64</f>
        <v>0.18689019090756945</v>
      </c>
      <c r="J20" s="228">
        <f>FS!K29/FS!K64</f>
        <v>0.2451037458752669</v>
      </c>
      <c r="K20" s="228">
        <f>FS!L29/FS!L64</f>
        <v>0.33145543529752558</v>
      </c>
      <c r="L20" s="228">
        <f>FS!M29/FS!M64</f>
        <v>0.45267047292263873</v>
      </c>
      <c r="M20" s="228">
        <f>FS!N29/FS!N64</f>
        <v>0.60439809773304554</v>
      </c>
      <c r="N20" s="228">
        <f>FS!O29/FS!O64</f>
        <v>0.78811328433849326</v>
      </c>
      <c r="O20" s="228">
        <f>FS!P29/FS!P64</f>
        <v>0.98058528243187126</v>
      </c>
      <c r="P20" s="228">
        <f>FS!Q29/FS!Q64</f>
        <v>1.1991253366793186</v>
      </c>
      <c r="Q20" s="228">
        <f>FS!R29/FS!R64</f>
        <v>1.4333502012144952</v>
      </c>
      <c r="R20" s="225" t="s">
        <v>151</v>
      </c>
      <c r="S20" s="346" t="s">
        <v>510</v>
      </c>
    </row>
    <row r="21" spans="2:19" ht="40" customHeight="1" x14ac:dyDescent="0.2">
      <c r="B21" s="286" t="s">
        <v>489</v>
      </c>
      <c r="C21" s="286"/>
      <c r="D21" s="286"/>
      <c r="E21" s="286"/>
      <c r="F21" s="286"/>
      <c r="G21" s="286"/>
      <c r="H21" s="286"/>
      <c r="I21" s="286"/>
      <c r="J21" s="286"/>
      <c r="K21" s="286"/>
      <c r="L21" s="286"/>
      <c r="M21" s="286"/>
      <c r="N21" s="286"/>
      <c r="O21" s="286"/>
      <c r="P21" s="286"/>
      <c r="Q21" s="286"/>
      <c r="R21" s="286"/>
      <c r="S21" s="286"/>
    </row>
    <row r="22" spans="2:19" ht="40" customHeight="1" x14ac:dyDescent="0.2">
      <c r="B22" s="227" t="s">
        <v>490</v>
      </c>
      <c r="C22" s="230">
        <f>'Working '!H126/'Working '!H161</f>
        <v>3.245646598272138E-2</v>
      </c>
      <c r="D22" s="230">
        <f>'Working '!I126/'Working '!I161</f>
        <v>2.4918898451651195E-3</v>
      </c>
      <c r="E22" s="230">
        <f>'Working '!J126/'Working '!J161</f>
        <v>3.9660272442204421E-3</v>
      </c>
      <c r="F22" s="230">
        <f>'Working '!K126/'Working '!K161</f>
        <v>2.4574291288325827E-2</v>
      </c>
      <c r="G22" s="230">
        <f>'Working '!L126/'Working '!L161</f>
        <v>0.14293552938572626</v>
      </c>
      <c r="H22" s="230">
        <f>'Working '!M126/'Working '!M161</f>
        <v>0.13926027671926691</v>
      </c>
      <c r="I22" s="230">
        <f>'Working '!N126/'Working '!N161</f>
        <v>0.13490616976682634</v>
      </c>
      <c r="J22" s="230">
        <f>'Working '!O126/'Working '!O161</f>
        <v>0.12696321695999938</v>
      </c>
      <c r="K22" s="230">
        <f>'Working '!P126/'Working '!P161</f>
        <v>0.11704681768851243</v>
      </c>
      <c r="L22" s="230">
        <f>'Working '!Q126/'Working '!Q161</f>
        <v>0.10612210670172835</v>
      </c>
      <c r="M22" s="230">
        <f>'Working '!R126/'Working '!R161</f>
        <v>9.4744965696592159E-2</v>
      </c>
      <c r="N22" s="230">
        <f>'Working '!S126/'Working '!S161</f>
        <v>8.4463368764488761E-2</v>
      </c>
      <c r="O22" s="230">
        <f>'Working '!T126/'Working '!T161</f>
        <v>7.52557054531659E-2</v>
      </c>
      <c r="P22" s="230">
        <f>'Working '!U126/'Working '!U161</f>
        <v>6.7118627612056059E-2</v>
      </c>
      <c r="Q22" s="230">
        <f>'Working '!V126/'Working '!V161</f>
        <v>5.9944136606705251E-2</v>
      </c>
      <c r="R22" s="225" t="s">
        <v>151</v>
      </c>
      <c r="S22" s="346" t="s">
        <v>511</v>
      </c>
    </row>
    <row r="23" spans="2:19" ht="40" customHeight="1" x14ac:dyDescent="0.2">
      <c r="B23" s="227" t="s">
        <v>491</v>
      </c>
      <c r="C23" s="230">
        <f>'Working '!H126/'Working '!H56</f>
        <v>0.27213563158763471</v>
      </c>
      <c r="D23" s="230">
        <f>'Working '!I126/'Working '!I56</f>
        <v>1.3408405721286877E-2</v>
      </c>
      <c r="E23" s="230">
        <f>'Working '!J126/'Working '!J56</f>
        <v>2.4694090492300882E-2</v>
      </c>
      <c r="F23" s="230">
        <f>'Working '!K126/'Working '!K56</f>
        <v>0.13251854064655227</v>
      </c>
      <c r="G23" s="230">
        <f>'Working '!L126/'Working '!L56</f>
        <v>0.7285739467653799</v>
      </c>
      <c r="H23" s="230">
        <f>'Working '!M126/'Working '!M56</f>
        <v>0.72210396126994369</v>
      </c>
      <c r="I23" s="230">
        <f>'Working '!N126/'Working '!N56</f>
        <v>0.61833058880859115</v>
      </c>
      <c r="J23" s="230">
        <f>'Working '!O126/'Working '!O56</f>
        <v>0.42509121145624329</v>
      </c>
      <c r="K23" s="230">
        <f>'Working '!P126/'Working '!P56</f>
        <v>0.32861206161744327</v>
      </c>
      <c r="L23" s="230">
        <f>'Working '!Q126/'Working '!Q56</f>
        <v>0.2662705085864347</v>
      </c>
      <c r="M23" s="230">
        <f>'Working '!R126/'Working '!R56</f>
        <v>0.22144584241220122</v>
      </c>
      <c r="N23" s="230">
        <f>'Working '!S126/'Working '!S56</f>
        <v>0.1973834203764212</v>
      </c>
      <c r="O23" s="230">
        <f>'Working '!T126/'Working '!T56</f>
        <v>0.17714688470095408</v>
      </c>
      <c r="P23" s="230">
        <f>'Working '!U126/'Working '!U56</f>
        <v>0.16067168710107163</v>
      </c>
      <c r="Q23" s="230">
        <f>'Working '!V126/'Working '!V56</f>
        <v>0.14642021718570217</v>
      </c>
      <c r="R23" s="225" t="s">
        <v>151</v>
      </c>
      <c r="S23" s="346" t="s">
        <v>512</v>
      </c>
    </row>
    <row r="24" spans="2:19" ht="40" customHeight="1" x14ac:dyDescent="0.2">
      <c r="B24" s="227" t="s">
        <v>492</v>
      </c>
      <c r="C24" s="230">
        <f>'Working '!H56/'Working '!H45</f>
        <v>18.707101896779886</v>
      </c>
      <c r="D24" s="230">
        <f>'Working '!I56/'Working '!I45</f>
        <v>49.148173207036535</v>
      </c>
      <c r="E24" s="230">
        <f>'Working '!J56/'Working '!J45</f>
        <v>136.32327586206895</v>
      </c>
      <c r="F24" s="230">
        <f>'Working '!K56/'Working '!K45</f>
        <v>111.74600870827285</v>
      </c>
      <c r="G24" s="230">
        <f>'Working '!L56/'Working '!L45</f>
        <v>66.170295489891132</v>
      </c>
      <c r="H24" s="230">
        <f>'Working '!M56/'Working '!M45</f>
        <v>44.928309836626092</v>
      </c>
      <c r="I24" s="230">
        <f>'Working '!N56/'Working '!N45</f>
        <v>49.880408030157611</v>
      </c>
      <c r="J24" s="230">
        <f>'Working '!O56/'Working '!O45</f>
        <v>69.303451800692883</v>
      </c>
      <c r="K24" s="230">
        <f>'Working '!P56/'Working '!P45</f>
        <v>85.741757801468026</v>
      </c>
      <c r="L24" s="230">
        <f>'Working '!Q56/'Working '!Q45</f>
        <v>101.73905653714419</v>
      </c>
      <c r="M24" s="230">
        <f>'Working '!R56/'Working '!R45</f>
        <v>117.31082304857705</v>
      </c>
      <c r="N24" s="230">
        <f>'Working '!S56/'Working '!S45</f>
        <v>126.85036238758076</v>
      </c>
      <c r="O24" s="230">
        <f>'Working '!T56/'Working '!T45</f>
        <v>136.21841411967625</v>
      </c>
      <c r="P24" s="230">
        <f>'Working '!U56/'Working '!U45</f>
        <v>145.41897588733875</v>
      </c>
      <c r="Q24" s="230">
        <f>'Working '!V56/'Working '!V45</f>
        <v>154.45593687362518</v>
      </c>
      <c r="R24" s="225" t="s">
        <v>151</v>
      </c>
      <c r="S24" s="346" t="s">
        <v>513</v>
      </c>
    </row>
    <row r="25" spans="2:19" ht="40" customHeight="1" x14ac:dyDescent="0.2">
      <c r="B25" s="286" t="s">
        <v>493</v>
      </c>
      <c r="C25" s="286"/>
      <c r="D25" s="286"/>
      <c r="E25" s="286"/>
      <c r="F25" s="286"/>
      <c r="G25" s="286"/>
      <c r="H25" s="286"/>
      <c r="I25" s="286"/>
      <c r="J25" s="286"/>
      <c r="K25" s="286"/>
      <c r="L25" s="286"/>
      <c r="M25" s="286"/>
      <c r="N25" s="286"/>
      <c r="O25" s="286"/>
      <c r="P25" s="286"/>
      <c r="Q25" s="286"/>
      <c r="R25" s="286"/>
      <c r="S25" s="286"/>
    </row>
    <row r="26" spans="2:19" ht="57" customHeight="1" x14ac:dyDescent="0.2">
      <c r="B26" s="227" t="s">
        <v>139</v>
      </c>
      <c r="C26" s="231">
        <f>Assumptions!H67</f>
        <v>204.44187112256512</v>
      </c>
      <c r="D26" s="231">
        <f>Assumptions!I67</f>
        <v>116.73159337279401</v>
      </c>
      <c r="E26" s="231">
        <f>Assumptions!J67</f>
        <v>122.18210186244538</v>
      </c>
      <c r="F26" s="231">
        <f>Assumptions!K67</f>
        <v>107.67866562060034</v>
      </c>
      <c r="G26" s="231">
        <f>Assumptions!L67</f>
        <v>116.40441668261481</v>
      </c>
      <c r="H26" s="231">
        <f>Assumptions!M67</f>
        <v>133.48772973220395</v>
      </c>
      <c r="I26" s="231">
        <f>Assumptions!N67</f>
        <v>133.48772973220395</v>
      </c>
      <c r="J26" s="231">
        <f>Assumptions!O67</f>
        <v>133.48772973220395</v>
      </c>
      <c r="K26" s="231">
        <f>Assumptions!P67</f>
        <v>133.48772973220395</v>
      </c>
      <c r="L26" s="231">
        <f>Assumptions!Q67</f>
        <v>133.48772973220395</v>
      </c>
      <c r="M26" s="231">
        <f>Assumptions!R67</f>
        <v>133.48772973220395</v>
      </c>
      <c r="N26" s="231">
        <f>Assumptions!S67</f>
        <v>133.48772973220395</v>
      </c>
      <c r="O26" s="231">
        <f>Assumptions!T67</f>
        <v>133.48772973220395</v>
      </c>
      <c r="P26" s="231">
        <f>Assumptions!U67</f>
        <v>133.48772973220395</v>
      </c>
      <c r="Q26" s="231">
        <f>Assumptions!V67</f>
        <v>133.48772973220395</v>
      </c>
      <c r="R26" s="225" t="s">
        <v>138</v>
      </c>
      <c r="S26" s="346" t="s">
        <v>568</v>
      </c>
    </row>
    <row r="27" spans="2:19" ht="40" customHeight="1" x14ac:dyDescent="0.2">
      <c r="B27" s="227" t="s">
        <v>494</v>
      </c>
      <c r="C27" s="231">
        <f>Assumptions!H65</f>
        <v>49.988547737233155</v>
      </c>
      <c r="D27" s="231">
        <f>Assumptions!I65</f>
        <v>34.899930813354544</v>
      </c>
      <c r="E27" s="231">
        <f>Assumptions!J65</f>
        <v>30.849139605875653</v>
      </c>
      <c r="F27" s="231">
        <f>Assumptions!K65</f>
        <v>46.076555820524248</v>
      </c>
      <c r="G27" s="231">
        <f>Assumptions!L65</f>
        <v>53.797449473273112</v>
      </c>
      <c r="H27" s="231">
        <f>Assumptions!M65</f>
        <v>43.122324690052139</v>
      </c>
      <c r="I27" s="231">
        <f>Assumptions!N65</f>
        <v>43.122324690052139</v>
      </c>
      <c r="J27" s="231">
        <f>Assumptions!O65</f>
        <v>43.122324690052139</v>
      </c>
      <c r="K27" s="231">
        <f>Assumptions!P65</f>
        <v>43.122324690052139</v>
      </c>
      <c r="L27" s="231">
        <f>Assumptions!Q65</f>
        <v>43.122324690052139</v>
      </c>
      <c r="M27" s="231">
        <f>Assumptions!R65</f>
        <v>43.122324690052139</v>
      </c>
      <c r="N27" s="231">
        <f>Assumptions!S65</f>
        <v>43.122324690052139</v>
      </c>
      <c r="O27" s="231">
        <f>Assumptions!T65</f>
        <v>43.122324690052139</v>
      </c>
      <c r="P27" s="231">
        <f>Assumptions!U65</f>
        <v>43.122324690052139</v>
      </c>
      <c r="Q27" s="231">
        <f>Assumptions!V65</f>
        <v>43.122324690052139</v>
      </c>
      <c r="R27" s="225" t="s">
        <v>138</v>
      </c>
      <c r="S27" s="346" t="s">
        <v>569</v>
      </c>
    </row>
    <row r="28" spans="2:19" ht="40" customHeight="1" x14ac:dyDescent="0.2">
      <c r="B28" s="227" t="s">
        <v>495</v>
      </c>
      <c r="C28" s="231">
        <f>Assumptions!H69</f>
        <v>110.6491340791713</v>
      </c>
      <c r="D28" s="231">
        <f>Assumptions!I69</f>
        <v>80.213977424210583</v>
      </c>
      <c r="E28" s="231">
        <f>Assumptions!J69</f>
        <v>60.617039166317291</v>
      </c>
      <c r="F28" s="231">
        <f>Assumptions!K69</f>
        <v>74.081843015066795</v>
      </c>
      <c r="G28" s="231">
        <f>Assumptions!L69</f>
        <v>81.974838184066726</v>
      </c>
      <c r="H28" s="231">
        <f>Assumptions!M69</f>
        <v>81.50736637376653</v>
      </c>
      <c r="I28" s="231">
        <f>Assumptions!N69</f>
        <v>81.50736637376653</v>
      </c>
      <c r="J28" s="231">
        <f>Assumptions!O69</f>
        <v>81.50736637376653</v>
      </c>
      <c r="K28" s="231">
        <f>Assumptions!P69</f>
        <v>81.50736637376653</v>
      </c>
      <c r="L28" s="231">
        <f>Assumptions!Q69</f>
        <v>81.50736637376653</v>
      </c>
      <c r="M28" s="231">
        <f>Assumptions!R69</f>
        <v>81.50736637376653</v>
      </c>
      <c r="N28" s="231">
        <f>Assumptions!S69</f>
        <v>81.50736637376653</v>
      </c>
      <c r="O28" s="231">
        <f>Assumptions!T69</f>
        <v>81.50736637376653</v>
      </c>
      <c r="P28" s="231">
        <f>Assumptions!U69</f>
        <v>81.50736637376653</v>
      </c>
      <c r="Q28" s="231">
        <f>Assumptions!V69</f>
        <v>81.50736637376653</v>
      </c>
      <c r="R28" s="225" t="s">
        <v>138</v>
      </c>
      <c r="S28" s="346" t="s">
        <v>514</v>
      </c>
    </row>
    <row r="29" spans="2:19" ht="40" customHeight="1" x14ac:dyDescent="0.2">
      <c r="B29" s="227" t="s">
        <v>496</v>
      </c>
      <c r="C29" s="231">
        <f>C26+C27-C28</f>
        <v>143.78128478062695</v>
      </c>
      <c r="D29" s="231">
        <f t="shared" ref="D29:Q29" si="0">D26+D27-D28</f>
        <v>71.417546761937984</v>
      </c>
      <c r="E29" s="231">
        <f t="shared" si="0"/>
        <v>92.414202302003758</v>
      </c>
      <c r="F29" s="231">
        <f t="shared" si="0"/>
        <v>79.673378426057809</v>
      </c>
      <c r="G29" s="231">
        <f t="shared" si="0"/>
        <v>88.227027971821201</v>
      </c>
      <c r="H29" s="231">
        <f t="shared" si="0"/>
        <v>95.102688048489568</v>
      </c>
      <c r="I29" s="231">
        <f t="shared" si="0"/>
        <v>95.102688048489568</v>
      </c>
      <c r="J29" s="231">
        <f t="shared" si="0"/>
        <v>95.102688048489568</v>
      </c>
      <c r="K29" s="231">
        <f t="shared" si="0"/>
        <v>95.102688048489568</v>
      </c>
      <c r="L29" s="231">
        <f t="shared" si="0"/>
        <v>95.102688048489568</v>
      </c>
      <c r="M29" s="231">
        <f t="shared" si="0"/>
        <v>95.102688048489568</v>
      </c>
      <c r="N29" s="231">
        <f t="shared" si="0"/>
        <v>95.102688048489568</v>
      </c>
      <c r="O29" s="231">
        <f t="shared" si="0"/>
        <v>95.102688048489568</v>
      </c>
      <c r="P29" s="231">
        <f t="shared" si="0"/>
        <v>95.102688048489568</v>
      </c>
      <c r="Q29" s="231">
        <f t="shared" si="0"/>
        <v>95.102688048489568</v>
      </c>
      <c r="R29" s="225" t="s">
        <v>138</v>
      </c>
      <c r="S29" s="346" t="s">
        <v>515</v>
      </c>
    </row>
    <row r="30" spans="2:19" ht="40" customHeight="1" x14ac:dyDescent="0.2">
      <c r="B30" s="286" t="s">
        <v>497</v>
      </c>
      <c r="C30" s="286"/>
      <c r="D30" s="286"/>
      <c r="E30" s="286"/>
      <c r="F30" s="286"/>
      <c r="G30" s="286"/>
      <c r="H30" s="286"/>
      <c r="I30" s="286"/>
      <c r="J30" s="286"/>
      <c r="K30" s="286"/>
      <c r="L30" s="286"/>
      <c r="M30" s="286"/>
      <c r="N30" s="286"/>
      <c r="O30" s="286"/>
      <c r="P30" s="286"/>
      <c r="Q30" s="286"/>
      <c r="R30" s="286"/>
      <c r="S30" s="286"/>
    </row>
    <row r="31" spans="2:19" ht="40" customHeight="1" x14ac:dyDescent="0.2">
      <c r="B31" s="223" t="s">
        <v>498</v>
      </c>
      <c r="C31" s="224">
        <f>'Working '!H52/FS!D47</f>
        <v>1.9450937773403325E-2</v>
      </c>
      <c r="D31" s="224">
        <f>'Working '!I52/FS!E47</f>
        <v>6.153318620142504E-2</v>
      </c>
      <c r="E31" s="224">
        <f>'Working '!J52/FS!F47</f>
        <v>4.8512910822417078E-2</v>
      </c>
      <c r="F31" s="224">
        <f>'Working '!K52/FS!G47</f>
        <v>5.8250169777000212E-2</v>
      </c>
      <c r="G31" s="224">
        <f>'Working '!L52/FS!H47</f>
        <v>5.3802906312820829E-2</v>
      </c>
      <c r="H31" s="224">
        <f>'Working '!M52/FS!I47</f>
        <v>4.6231173006648918E-2</v>
      </c>
      <c r="I31" s="224">
        <f>'Working '!N52/FS!J47</f>
        <v>5.5949057045663178E-2</v>
      </c>
      <c r="J31" s="224">
        <f>'Working '!O52/FS!K47</f>
        <v>9.0453704032660079E-2</v>
      </c>
      <c r="K31" s="224">
        <f>'Working '!P52/FS!L47</f>
        <v>0.11852932378058309</v>
      </c>
      <c r="L31" s="224">
        <f>'Working '!Q52/FS!M47</f>
        <v>0.1437793195700624</v>
      </c>
      <c r="M31" s="224">
        <f>'Working '!R52/FS!N47</f>
        <v>0.16600397472805895</v>
      </c>
      <c r="N31" s="224">
        <f>'Working '!S52/FS!O47</f>
        <v>0.17371474278347315</v>
      </c>
      <c r="O31" s="224">
        <f>'Working '!T52/FS!P47</f>
        <v>0.17963169791251152</v>
      </c>
      <c r="P31" s="224">
        <f>'Working '!U52/FS!Q47</f>
        <v>0.18349062482364559</v>
      </c>
      <c r="Q31" s="224">
        <f>'Working '!V52/FS!R47</f>
        <v>0.1861542642509755</v>
      </c>
      <c r="R31" s="225" t="s">
        <v>120</v>
      </c>
      <c r="S31" s="346" t="s">
        <v>516</v>
      </c>
    </row>
    <row r="32" spans="2:19" ht="40" customHeight="1" x14ac:dyDescent="0.2">
      <c r="B32" s="223" t="s">
        <v>499</v>
      </c>
      <c r="C32" s="224">
        <f>'Working '!H52/FS!D52</f>
        <v>3.174262345825328E-2</v>
      </c>
      <c r="D32" s="224">
        <f>'Working '!I52/FS!E52</f>
        <v>9.2931159659428414E-2</v>
      </c>
      <c r="E32" s="224">
        <f>'Working '!J52/FS!F52</f>
        <v>7.6755258848721503E-2</v>
      </c>
      <c r="F32" s="224">
        <f>'Working '!K52/FS!G52</f>
        <v>9.8208224574286018E-2</v>
      </c>
      <c r="G32" s="224">
        <f>'Working '!L52/FS!H52</f>
        <v>0.10124632692853416</v>
      </c>
      <c r="H32" s="224">
        <f>'Working '!M52/FS!I52</f>
        <v>8.279977674183131E-2</v>
      </c>
      <c r="I32" s="224">
        <f>'Working '!N52/FS!J52</f>
        <v>9.9461602421831233E-2</v>
      </c>
      <c r="J32" s="224">
        <f>'Working '!O52/FS!K52</f>
        <v>0.15627613421983522</v>
      </c>
      <c r="K32" s="224">
        <f>'Working '!P52/FS!L52</f>
        <v>0.19825882727042607</v>
      </c>
      <c r="L32" s="224">
        <f>'Working '!Q52/FS!M52</f>
        <v>0.23072123267875941</v>
      </c>
      <c r="M32" s="224">
        <f>'Working '!R52/FS!N52</f>
        <v>0.25451468737875149</v>
      </c>
      <c r="N32" s="224">
        <f>'Working '!S52/FS!O52</f>
        <v>0.25797921278471964</v>
      </c>
      <c r="O32" s="224">
        <f>'Working '!T52/FS!P52</f>
        <v>0.25899625253351033</v>
      </c>
      <c r="P32" s="224">
        <f>'Working '!U52/FS!Q52</f>
        <v>0.25710996334294889</v>
      </c>
      <c r="Q32" s="224">
        <f>'Working '!V52/FS!R52</f>
        <v>0.25404329078840893</v>
      </c>
      <c r="R32" s="225" t="s">
        <v>120</v>
      </c>
      <c r="S32" s="346" t="s">
        <v>570</v>
      </c>
    </row>
    <row r="33" spans="2:19" ht="40" customHeight="1" x14ac:dyDescent="0.2">
      <c r="B33" s="223" t="s">
        <v>500</v>
      </c>
      <c r="C33" s="224">
        <f>'Working '!H54/(FS!D47-FS!D64)</f>
        <v>5.1718381458066322E-2</v>
      </c>
      <c r="D33" s="224">
        <f>'Working '!I54/(FS!E47-FS!E64)</f>
        <v>0.12811532945882709</v>
      </c>
      <c r="E33" s="224">
        <f>'Working '!J54/(FS!F47-FS!F64)</f>
        <v>0.10541028696479829</v>
      </c>
      <c r="F33" s="224">
        <f>'Working '!K54/(FS!G47-FS!G64)</f>
        <v>0.13210186921197659</v>
      </c>
      <c r="G33" s="224">
        <f>'Working '!L54/(FS!H47-FS!H64)</f>
        <v>0.13918932920099644</v>
      </c>
      <c r="H33" s="224">
        <f>'Working '!M54/(FS!I47-FS!I64)</f>
        <v>0.12162641601200451</v>
      </c>
      <c r="I33" s="224">
        <f>'Working '!N54/(FS!J47-FS!J64)</f>
        <v>0.14627341675143576</v>
      </c>
      <c r="J33" s="224">
        <f>'Working '!O54/(FS!K47-FS!K64)</f>
        <v>0.23078958152425877</v>
      </c>
      <c r="K33" s="224">
        <f>'Working '!P54/(FS!L47-FS!L64)</f>
        <v>0.29469540678511558</v>
      </c>
      <c r="L33" s="224">
        <f>'Working '!Q54/(FS!M47-FS!M64)</f>
        <v>0.3451115941222116</v>
      </c>
      <c r="M33" s="224">
        <f>'Working '!R54/(FS!N47-FS!N64)</f>
        <v>0.38269058986279147</v>
      </c>
      <c r="N33" s="224">
        <f>'Working '!S54/(FS!O47-FS!O64)</f>
        <v>0.38639872612112397</v>
      </c>
      <c r="O33" s="224">
        <f>'Working '!T54/(FS!P47-FS!P64)</f>
        <v>0.38663774634944575</v>
      </c>
      <c r="P33" s="224">
        <f>'Working '!U54/(FS!Q47-FS!Q64)</f>
        <v>0.38256641862555413</v>
      </c>
      <c r="Q33" s="224">
        <f>'Working '!V54/(FS!R47-FS!R64)</f>
        <v>0.37689344189745499</v>
      </c>
      <c r="R33" s="225" t="s">
        <v>120</v>
      </c>
      <c r="S33" s="346" t="s">
        <v>571</v>
      </c>
    </row>
    <row r="34" spans="2:19" ht="40" customHeight="1" x14ac:dyDescent="0.2">
      <c r="B34" s="221"/>
      <c r="C34" s="221"/>
      <c r="D34" s="221"/>
      <c r="E34" s="221"/>
      <c r="F34" s="221"/>
      <c r="G34" s="221"/>
      <c r="H34" s="221"/>
      <c r="I34" s="221"/>
      <c r="J34" s="221"/>
      <c r="K34" s="221"/>
      <c r="L34" s="221"/>
      <c r="M34" s="221"/>
      <c r="N34" s="221"/>
      <c r="O34" s="221"/>
      <c r="P34" s="221"/>
      <c r="Q34" s="221"/>
      <c r="R34" s="221"/>
      <c r="S34" s="344"/>
    </row>
    <row r="35" spans="2:19" ht="40" customHeight="1" x14ac:dyDescent="0.2">
      <c r="B35" s="284"/>
      <c r="C35" s="284"/>
      <c r="D35" s="284"/>
      <c r="E35" s="284"/>
      <c r="F35" s="284"/>
      <c r="G35" s="284"/>
      <c r="H35" s="284"/>
      <c r="I35" s="284"/>
      <c r="J35" s="284"/>
      <c r="K35" s="284"/>
      <c r="L35" s="284"/>
      <c r="M35" s="284"/>
      <c r="N35" s="284"/>
      <c r="O35" s="284"/>
      <c r="P35" s="284"/>
      <c r="Q35" s="284"/>
      <c r="R35" s="284"/>
      <c r="S35" s="284"/>
    </row>
  </sheetData>
  <mergeCells count="13">
    <mergeCell ref="B1:S1"/>
    <mergeCell ref="B2:S2"/>
    <mergeCell ref="B4:S4"/>
    <mergeCell ref="C5:G5"/>
    <mergeCell ref="H5:Q5"/>
    <mergeCell ref="R5:S5"/>
    <mergeCell ref="B35:S35"/>
    <mergeCell ref="B7:S7"/>
    <mergeCell ref="B12:S12"/>
    <mergeCell ref="B17:S17"/>
    <mergeCell ref="B21:S21"/>
    <mergeCell ref="B25:S25"/>
    <mergeCell ref="B30:S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INDEX</vt:lpstr>
      <vt:lpstr>CHARTS</vt:lpstr>
      <vt:lpstr>Balance Sheet- Historic</vt:lpstr>
      <vt:lpstr>Income Statement-Historic</vt:lpstr>
      <vt:lpstr>Cash flow-Historic</vt:lpstr>
      <vt:lpstr>Assumptions</vt:lpstr>
      <vt:lpstr>Working </vt:lpstr>
      <vt:lpstr>FS</vt:lpstr>
      <vt:lpstr>Valuation</vt:lpstr>
      <vt:lpstr>CCA</vt:lpstr>
      <vt:lpstr>Ratio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 Chopra</dc:creator>
  <cp:lastModifiedBy>Shubh Chopra</cp:lastModifiedBy>
  <dcterms:created xsi:type="dcterms:W3CDTF">2026-09-22T05:37:59Z</dcterms:created>
  <dcterms:modified xsi:type="dcterms:W3CDTF">2026-10-02T02:01:32Z</dcterms:modified>
</cp:coreProperties>
</file>